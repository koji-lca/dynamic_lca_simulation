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knmacbookair/private_business/rinyacho_sumpo_project/dynamic_lca_simulation/project_directories/"/>
    </mc:Choice>
  </mc:AlternateContent>
  <xr:revisionPtr revIDLastSave="0" documentId="13_ncr:1_{A43445F6-D78B-D349-B9C5-8B6B6C5E23BC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調査業務リスト" sheetId="1" r:id="rId1"/>
    <sheet name="AI活用効果サマリー" sheetId="2" r:id="rId2"/>
    <sheet name="スケジュール" sheetId="3" r:id="rId3"/>
    <sheet name="最重要項目のみスコープ" sheetId="4" r:id="rId4"/>
  </sheets>
  <definedNames>
    <definedName name="_xlnm._FilterDatabase" localSheetId="0" hidden="1">調査業務リスト!$A$1:$Z$48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bBh8B0BbkXm3xze5PSAe6ehgt4LGktZuJm9mLt50A2A="/>
    </ext>
  </extLst>
</workbook>
</file>

<file path=xl/calcChain.xml><?xml version="1.0" encoding="utf-8"?>
<calcChain xmlns="http://schemas.openxmlformats.org/spreadsheetml/2006/main">
  <c r="J35" i="4" l="1"/>
  <c r="M24" i="4"/>
  <c r="G24" i="4"/>
  <c r="N23" i="4"/>
  <c r="J22" i="4"/>
  <c r="L22" i="4" s="1"/>
  <c r="N22" i="4" s="1"/>
  <c r="J21" i="4"/>
  <c r="L21" i="4" s="1"/>
  <c r="N21" i="4" s="1"/>
  <c r="J20" i="4"/>
  <c r="L20" i="4" s="1"/>
  <c r="N20" i="4" s="1"/>
  <c r="J19" i="4"/>
  <c r="L19" i="4" s="1"/>
  <c r="N19" i="4" s="1"/>
  <c r="J18" i="4"/>
  <c r="L18" i="4" s="1"/>
  <c r="N18" i="4" s="1"/>
  <c r="L17" i="4"/>
  <c r="N17" i="4" s="1"/>
  <c r="J17" i="4"/>
  <c r="N16" i="4"/>
  <c r="L16" i="4"/>
  <c r="J16" i="4"/>
  <c r="L15" i="4"/>
  <c r="N15" i="4" s="1"/>
  <c r="J15" i="4"/>
  <c r="J14" i="4"/>
  <c r="L14" i="4" s="1"/>
  <c r="N14" i="4" s="1"/>
  <c r="L13" i="4"/>
  <c r="N13" i="4" s="1"/>
  <c r="J13" i="4"/>
  <c r="J12" i="4"/>
  <c r="L12" i="4" s="1"/>
  <c r="N12" i="4" s="1"/>
  <c r="L11" i="4"/>
  <c r="N11" i="4" s="1"/>
  <c r="J11" i="4"/>
  <c r="J10" i="4"/>
  <c r="L10" i="4" s="1"/>
  <c r="N10" i="4" s="1"/>
  <c r="J9" i="4"/>
  <c r="L9" i="4" s="1"/>
  <c r="N9" i="4" s="1"/>
  <c r="J8" i="4"/>
  <c r="L8" i="4" s="1"/>
  <c r="N8" i="4" s="1"/>
  <c r="L7" i="4"/>
  <c r="N7" i="4" s="1"/>
  <c r="J7" i="4"/>
  <c r="J24" i="4" s="1"/>
  <c r="J36" i="4" s="1"/>
  <c r="J37" i="4" s="1"/>
  <c r="N6" i="4"/>
  <c r="L6" i="4"/>
  <c r="J6" i="4"/>
  <c r="L5" i="4"/>
  <c r="N5" i="4" s="1"/>
  <c r="J5" i="4"/>
  <c r="D20" i="2"/>
  <c r="C8" i="2"/>
  <c r="B8" i="2"/>
  <c r="C7" i="2"/>
  <c r="B7" i="2"/>
  <c r="C6" i="2"/>
  <c r="B6" i="2"/>
  <c r="C5" i="2"/>
  <c r="B5" i="2"/>
  <c r="C4" i="2"/>
  <c r="B4" i="2"/>
  <c r="O58" i="1"/>
  <c r="T48" i="1"/>
  <c r="L48" i="1"/>
  <c r="V47" i="1"/>
  <c r="O46" i="1"/>
  <c r="D8" i="2" s="1"/>
  <c r="O45" i="1"/>
  <c r="S45" i="1" s="1"/>
  <c r="V45" i="1" s="1"/>
  <c r="O44" i="1"/>
  <c r="S44" i="1" s="1"/>
  <c r="V44" i="1" s="1"/>
  <c r="O43" i="1"/>
  <c r="S43" i="1" s="1"/>
  <c r="V43" i="1" s="1"/>
  <c r="O42" i="1"/>
  <c r="S42" i="1" s="1"/>
  <c r="V42" i="1" s="1"/>
  <c r="O41" i="1"/>
  <c r="S41" i="1" s="1"/>
  <c r="V41" i="1" s="1"/>
  <c r="O40" i="1"/>
  <c r="S40" i="1" s="1"/>
  <c r="V40" i="1" s="1"/>
  <c r="O39" i="1"/>
  <c r="S39" i="1" s="1"/>
  <c r="V39" i="1" s="1"/>
  <c r="O38" i="1"/>
  <c r="S38" i="1" s="1"/>
  <c r="V38" i="1" s="1"/>
  <c r="O37" i="1"/>
  <c r="S37" i="1" s="1"/>
  <c r="V37" i="1" s="1"/>
  <c r="O36" i="1"/>
  <c r="S36" i="1" s="1"/>
  <c r="V36" i="1" s="1"/>
  <c r="O35" i="1"/>
  <c r="O34" i="1"/>
  <c r="S34" i="1" s="1"/>
  <c r="V34" i="1" s="1"/>
  <c r="O33" i="1"/>
  <c r="S33" i="1" s="1"/>
  <c r="V33" i="1" s="1"/>
  <c r="O32" i="1"/>
  <c r="S32" i="1" s="1"/>
  <c r="V32" i="1" s="1"/>
  <c r="O31" i="1"/>
  <c r="S31" i="1" s="1"/>
  <c r="V31" i="1" s="1"/>
  <c r="O30" i="1"/>
  <c r="S30" i="1" s="1"/>
  <c r="V30" i="1" s="1"/>
  <c r="O29" i="1"/>
  <c r="S29" i="1" s="1"/>
  <c r="V29" i="1" s="1"/>
  <c r="O28" i="1"/>
  <c r="S28" i="1" s="1"/>
  <c r="V28" i="1" s="1"/>
  <c r="O27" i="1"/>
  <c r="S27" i="1" s="1"/>
  <c r="V27" i="1" s="1"/>
  <c r="O26" i="1"/>
  <c r="S26" i="1" s="1"/>
  <c r="O25" i="1"/>
  <c r="O24" i="1"/>
  <c r="S24" i="1" s="1"/>
  <c r="V24" i="1" s="1"/>
  <c r="O23" i="1"/>
  <c r="S23" i="1" s="1"/>
  <c r="V23" i="1" s="1"/>
  <c r="O22" i="1"/>
  <c r="S22" i="1" s="1"/>
  <c r="V22" i="1" s="1"/>
  <c r="O21" i="1"/>
  <c r="S21" i="1" s="1"/>
  <c r="V21" i="1" s="1"/>
  <c r="O20" i="1"/>
  <c r="S20" i="1" s="1"/>
  <c r="V20" i="1" s="1"/>
  <c r="O19" i="1"/>
  <c r="S19" i="1" s="1"/>
  <c r="V19" i="1" s="1"/>
  <c r="O18" i="1"/>
  <c r="S18" i="1" s="1"/>
  <c r="V18" i="1" s="1"/>
  <c r="O17" i="1"/>
  <c r="S17" i="1" s="1"/>
  <c r="V17" i="1" s="1"/>
  <c r="O16" i="1"/>
  <c r="S16" i="1" s="1"/>
  <c r="O15" i="1"/>
  <c r="S15" i="1" s="1"/>
  <c r="V15" i="1" s="1"/>
  <c r="O14" i="1"/>
  <c r="S14" i="1" s="1"/>
  <c r="V14" i="1" s="1"/>
  <c r="O13" i="1"/>
  <c r="S13" i="1" s="1"/>
  <c r="V13" i="1" s="1"/>
  <c r="O12" i="1"/>
  <c r="S12" i="1" s="1"/>
  <c r="V12" i="1" s="1"/>
  <c r="O11" i="1"/>
  <c r="S11" i="1" s="1"/>
  <c r="V11" i="1" s="1"/>
  <c r="O10" i="1"/>
  <c r="S10" i="1" s="1"/>
  <c r="V10" i="1" s="1"/>
  <c r="O9" i="1"/>
  <c r="S9" i="1" s="1"/>
  <c r="V9" i="1" s="1"/>
  <c r="O8" i="1"/>
  <c r="S8" i="1" s="1"/>
  <c r="V8" i="1" s="1"/>
  <c r="O7" i="1"/>
  <c r="S7" i="1" s="1"/>
  <c r="V7" i="1" s="1"/>
  <c r="O6" i="1"/>
  <c r="S6" i="1" s="1"/>
  <c r="V6" i="1" s="1"/>
  <c r="O5" i="1"/>
  <c r="S5" i="1" s="1"/>
  <c r="V5" i="1" s="1"/>
  <c r="O4" i="1"/>
  <c r="S4" i="1" s="1"/>
  <c r="V4" i="1" s="1"/>
  <c r="O3" i="1"/>
  <c r="S3" i="1" s="1"/>
  <c r="V3" i="1" s="1"/>
  <c r="O2" i="1"/>
  <c r="S2" i="1" s="1"/>
  <c r="D6" i="2" l="1"/>
  <c r="E6" i="2" s="1"/>
  <c r="F6" i="2" s="1"/>
  <c r="D7" i="2"/>
  <c r="E7" i="2" s="1"/>
  <c r="F7" i="2" s="1"/>
  <c r="D5" i="2"/>
  <c r="E5" i="2" s="1"/>
  <c r="F5" i="2" s="1"/>
  <c r="S25" i="1"/>
  <c r="V25" i="1" s="1"/>
  <c r="H6" i="2" s="1"/>
  <c r="B10" i="2"/>
  <c r="D4" i="2"/>
  <c r="C10" i="2"/>
  <c r="S35" i="1"/>
  <c r="V35" i="1" s="1"/>
  <c r="H7" i="2" s="1"/>
  <c r="G6" i="2"/>
  <c r="V26" i="1"/>
  <c r="V2" i="1"/>
  <c r="G4" i="2"/>
  <c r="E8" i="2"/>
  <c r="F8" i="2" s="1"/>
  <c r="V16" i="1"/>
  <c r="H5" i="2" s="1"/>
  <c r="G5" i="2"/>
  <c r="N24" i="4"/>
  <c r="L24" i="4"/>
  <c r="O48" i="1"/>
  <c r="O59" i="1" s="1"/>
  <c r="O60" i="1" s="1"/>
  <c r="S46" i="1"/>
  <c r="G7" i="2" l="1"/>
  <c r="D10" i="2"/>
  <c r="D21" i="2" s="1"/>
  <c r="D22" i="2" s="1"/>
  <c r="S48" i="1"/>
  <c r="E4" i="2"/>
  <c r="E10" i="2" s="1"/>
  <c r="F10" i="2" s="1"/>
  <c r="F4" i="2"/>
  <c r="H4" i="2"/>
  <c r="N29" i="4"/>
  <c r="N28" i="4"/>
  <c r="V46" i="1"/>
  <c r="H8" i="2" s="1"/>
  <c r="G8" i="2"/>
  <c r="G10" i="2" s="1"/>
  <c r="V48" i="1" l="1"/>
  <c r="H10" i="2"/>
  <c r="H14" i="2" l="1"/>
  <c r="H13" i="2"/>
  <c r="V52" i="1"/>
  <c r="V51" i="1"/>
</calcChain>
</file>

<file path=xl/sharedStrings.xml><?xml version="1.0" encoding="utf-8"?>
<sst xmlns="http://schemas.openxmlformats.org/spreadsheetml/2006/main" count="906" uniqueCount="702">
  <si>
    <t>No.</t>
  </si>
  <si>
    <t>大項目</t>
  </si>
  <si>
    <t>中項目</t>
  </si>
  <si>
    <t>小項目</t>
  </si>
  <si>
    <t>調査ブロック</t>
  </si>
  <si>
    <r>
      <rPr>
        <b/>
        <sz val="11"/>
        <color rgb="FFFFFFFF"/>
        <rFont val="Noto Sans CJK SC"/>
      </rPr>
      <t>大細目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番号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</si>
  <si>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>大細目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内容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</si>
  <si>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>細目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記号</t>
    </r>
    <r>
      <rPr>
        <b/>
        <sz val="11"/>
        <color rgb="FFFFFFFF"/>
        <rFont val="Arial"/>
        <family val="2"/>
      </rPr>
      <t>)</t>
    </r>
  </si>
  <si>
    <t>細目内容</t>
  </si>
  <si>
    <t>調査手法</t>
  </si>
  <si>
    <r>
      <rPr>
        <b/>
        <sz val="11"/>
        <color rgb="FFFFFFFF"/>
        <rFont val="Noto Sans CJK SC"/>
      </rPr>
      <t>重要度</t>
    </r>
    <r>
      <rPr>
        <b/>
        <sz val="11"/>
        <color rgb="FFFFFFFF"/>
        <rFont val="Arial"/>
        <family val="2"/>
      </rPr>
      <t>(1-5)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</si>
  <si>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活用前
想定工数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</si>
  <si>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削減率</t>
    </r>
    <r>
      <rPr>
        <b/>
        <sz val="11"/>
        <color rgb="FFFFFFFF"/>
        <rFont val="Arial"/>
        <family val="2"/>
      </rPr>
      <t>(%)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</si>
  <si>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活用ツール・手法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</si>
  <si>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活用後
工数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</si>
  <si>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t>開始予定</t>
  </si>
  <si>
    <t>完了予定</t>
  </si>
  <si>
    <r>
      <rPr>
        <b/>
        <sz val="11"/>
        <color rgb="FFFFFFFF"/>
        <rFont val="Noto Sans CJK SC"/>
      </rPr>
      <t xml:space="preserve">人件費単価
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</si>
  <si>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>人件費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</si>
  <si>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>その他コスト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</si>
  <si>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t>コスト内訳</t>
  </si>
  <si>
    <r>
      <rPr>
        <b/>
        <sz val="11"/>
        <color rgb="FFFFFFFF"/>
        <rFont val="Noto Sans CJK SC"/>
      </rPr>
      <t>実際にかかる費用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</si>
  <si>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t>備考・前提</t>
  </si>
  <si>
    <t>Research / analysis</t>
  </si>
  <si>
    <t>Report Progress</t>
  </si>
  <si>
    <t>Done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</si>
  <si>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</si>
  <si>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</si>
  <si>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</si>
  <si>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</si>
  <si>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①</t>
  </si>
  <si>
    <r>
      <rPr>
        <sz val="11"/>
        <color theme="1"/>
        <rFont val="Noto Sans CJK SC"/>
      </rPr>
      <t>建築環境性能評価制度（建築物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）の全体構造</t>
    </r>
  </si>
  <si>
    <t>ア</t>
  </si>
  <si>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の位置付け</t>
    </r>
  </si>
  <si>
    <t>文献・政策資料調査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</si>
  <si>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</si>
  <si>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</si>
  <si>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月初旬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</si>
  <si>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 xml:space="preserve">: </t>
    </r>
    <r>
      <rPr>
        <i/>
        <sz val="9"/>
        <color rgb="FF595959"/>
        <rFont val="Noto Sans CJK SC"/>
      </rPr>
      <t>制度化背景・基礎ガイダンス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</si>
  <si>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</si>
  <si>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</si>
  <si>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</si>
  <si>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</si>
  <si>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11"/>
        <color theme="1"/>
        <rFont val="Noto Sans CJK SC"/>
      </rPr>
      <t>建築環境性能評価制度（建築物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）の全体構造</t>
    </r>
  </si>
  <si>
    <t>イ</t>
  </si>
  <si>
    <t>環境性能評価方法（非住宅・住宅、新築・既築住宅等）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</si>
  <si>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</si>
  <si>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</si>
  <si>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月初旬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</si>
  <si>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 xml:space="preserve">: </t>
    </r>
    <r>
      <rPr>
        <i/>
        <sz val="9"/>
        <color rgb="FF595959"/>
        <rFont val="Noto Sans CJK SC"/>
      </rPr>
      <t>制度化背景・基礎ガイダンス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</si>
  <si>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</si>
  <si>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</si>
  <si>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</si>
  <si>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</si>
  <si>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11"/>
        <color theme="1"/>
        <rFont val="Noto Sans CJK SC"/>
      </rPr>
      <t>建築環境性能評価制度（建築物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）の全体構造</t>
    </r>
  </si>
  <si>
    <t>ウ</t>
  </si>
  <si>
    <r>
      <rPr>
        <sz val="11"/>
        <color theme="1"/>
        <rFont val="Arial"/>
        <family val="2"/>
      </rPr>
      <t>Level(s)</t>
    </r>
    <r>
      <rPr>
        <sz val="11"/>
        <color theme="1"/>
        <rFont val="Noto Sans CJK SC"/>
      </rPr>
      <t>及び</t>
    </r>
    <r>
      <rPr>
        <sz val="11"/>
        <color theme="1"/>
        <rFont val="Arial"/>
        <family val="2"/>
      </rPr>
      <t>EN15978</t>
    </r>
    <r>
      <rPr>
        <sz val="11"/>
        <color theme="1"/>
        <rFont val="Noto Sans CJK SC"/>
      </rPr>
      <t>（建築物の環境性能評価方法）との関係性</t>
    </r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</si>
  <si>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</si>
  <si>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</si>
  <si>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月初旬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</si>
  <si>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 xml:space="preserve">: </t>
    </r>
    <r>
      <rPr>
        <i/>
        <sz val="9"/>
        <color rgb="FF595959"/>
        <rFont val="Noto Sans CJK SC"/>
      </rPr>
      <t>制度化背景・基礎ガイダンス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</si>
  <si>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</si>
  <si>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</si>
  <si>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</si>
  <si>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</si>
  <si>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④</t>
  </si>
  <si>
    <t>制度導入の背景および検討プロセスの整理</t>
  </si>
  <si>
    <t>初期検討から導入に至った経緯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</si>
  <si>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</si>
  <si>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</si>
  <si>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月初旬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</si>
  <si>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 xml:space="preserve">: </t>
    </r>
    <r>
      <rPr>
        <i/>
        <sz val="9"/>
        <color rgb="FF595959"/>
        <rFont val="Noto Sans CJK SC"/>
      </rPr>
      <t>制度化背景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</si>
  <si>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</si>
  <si>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</si>
  <si>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</si>
  <si>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</si>
  <si>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所管省庁及び外郭組織、関連する国家戦略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</si>
  <si>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</si>
  <si>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</si>
  <si>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月初旬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</si>
  <si>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 xml:space="preserve">: </t>
    </r>
    <r>
      <rPr>
        <i/>
        <sz val="9"/>
        <color rgb="FF595959"/>
        <rFont val="Noto Sans CJK SC"/>
      </rPr>
      <t>制度化背景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</si>
  <si>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</si>
  <si>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</si>
  <si>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</si>
  <si>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</si>
  <si>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目的と狙い、課題認識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</si>
  <si>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</si>
  <si>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</si>
  <si>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月初旬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</si>
  <si>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 xml:space="preserve">: </t>
    </r>
    <r>
      <rPr>
        <i/>
        <sz val="9"/>
        <color rgb="FF595959"/>
        <rFont val="Noto Sans CJK SC"/>
      </rPr>
      <t>制度化背景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</si>
  <si>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</si>
  <si>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</si>
  <si>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</si>
  <si>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</si>
  <si>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エ</t>
  </si>
  <si>
    <t>フランスの林業木材利用戦略との関係性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</si>
  <si>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</si>
  <si>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</si>
  <si>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月初旬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</si>
  <si>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 xml:space="preserve">: </t>
    </r>
    <r>
      <rPr>
        <i/>
        <sz val="9"/>
        <color rgb="FF595959"/>
        <rFont val="Noto Sans CJK SC"/>
      </rPr>
      <t>制度化背景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</si>
  <si>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</si>
  <si>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</si>
  <si>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</si>
  <si>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</si>
  <si>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11"/>
        <color theme="1"/>
        <rFont val="Noto Sans CJK SC"/>
      </rPr>
      <t>建築環境性能評価制度（建築物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）の全体構造</t>
    </r>
  </si>
  <si>
    <t>サーキュラーエコノミー施策との関係性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</si>
  <si>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</si>
  <si>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</si>
  <si>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</si>
  <si>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</si>
  <si>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</si>
  <si>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</si>
  <si>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</si>
  <si>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②</t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</si>
  <si>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の要件整理</t>
    </r>
  </si>
  <si>
    <t>対象建築物の種別と範囲、並びに導入時の段階適用内容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</si>
  <si>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で文献翻訳・要件抽出を自動化、人間が検証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</si>
  <si>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</si>
  <si>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</si>
  <si>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</si>
  <si>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</si>
  <si>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</si>
  <si>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</si>
  <si>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の要件整理</t>
    </r>
  </si>
  <si>
    <t>遅延排出の評価根拠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</si>
  <si>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で根拠資料の翻訳・要約、人間が解釈精査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</si>
  <si>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</si>
  <si>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</si>
  <si>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t>解釈判断が重要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</si>
  <si>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</si>
  <si>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</si>
  <si>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</si>
  <si>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</si>
  <si>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の要件整理</t>
    </r>
  </si>
  <si>
    <t>各種パラメータ内容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</si>
  <si>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でパラメータ表の自動整理・翻訳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</si>
  <si>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</si>
  <si>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</si>
  <si>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</si>
  <si>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</si>
  <si>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</si>
  <si>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</si>
  <si>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③</t>
  </si>
  <si>
    <t>生物由来炭素及び炭素貯蔵評価の制度的位置付け</t>
  </si>
  <si>
    <t>貯蔵量算定方法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</si>
  <si>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で算定式・計算例の翻訳整理、人間が精査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</si>
  <si>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</si>
  <si>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</si>
  <si>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t>計算根拠の精査が必要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</si>
  <si>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</si>
  <si>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</si>
  <si>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</si>
  <si>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</si>
  <si>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評価期間の設定根拠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</si>
  <si>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で根拠資料の翻訳・要点抽出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</si>
  <si>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</si>
  <si>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</si>
  <si>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</si>
  <si>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</si>
  <si>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</si>
  <si>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</si>
  <si>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解体及び再利用での排出扱い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</si>
  <si>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で規定の翻訳・整理を自動化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</si>
  <si>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</si>
  <si>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</si>
  <si>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</si>
  <si>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</si>
  <si>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</si>
  <si>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</si>
  <si>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の理論的枠組み</t>
    </r>
  </si>
  <si>
    <r>
      <rPr>
        <sz val="11"/>
        <color theme="1"/>
        <rFont val="Noto Sans CJK SC"/>
      </rPr>
      <t>動的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（時間軸評価）導入の基本概念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</si>
  <si>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</si>
  <si>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</si>
  <si>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月上旬</t>
    </r>
  </si>
  <si>
    <t>理論部分は人間の理解が必須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</si>
  <si>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</si>
  <si>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</si>
  <si>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</si>
  <si>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</si>
  <si>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の理論的枠組み</t>
    </r>
  </si>
  <si>
    <t>評価期間の根拠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</si>
  <si>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</si>
  <si>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</si>
  <si>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</si>
  <si>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</si>
  <si>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</si>
  <si>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</si>
  <si>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</si>
  <si>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の理論的枠組み</t>
    </r>
  </si>
  <si>
    <r>
      <rPr>
        <sz val="11"/>
        <color theme="1"/>
        <rFont val="Noto Sans CJK SC"/>
      </rPr>
      <t>従来型静的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（</t>
    </r>
    <r>
      <rPr>
        <sz val="11"/>
        <color theme="1"/>
        <rFont val="Arial"/>
        <family val="2"/>
      </rPr>
      <t>GWP100</t>
    </r>
    <r>
      <rPr>
        <sz val="11"/>
        <color theme="1"/>
        <rFont val="Noto Sans CJK SC"/>
      </rPr>
      <t>）との差異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</si>
  <si>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</si>
  <si>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</si>
  <si>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月上旬</t>
    </r>
  </si>
  <si>
    <r>
      <rPr>
        <i/>
        <sz val="9"/>
        <color rgb="FF595959"/>
        <rFont val="Noto Sans CJK SC"/>
      </rPr>
      <t>比較表を</t>
    </r>
    <r>
      <rPr>
        <i/>
        <sz val="9"/>
        <color rgb="FF595959"/>
        <rFont val="Arial"/>
        <family val="2"/>
      </rPr>
      <t>AI</t>
    </r>
    <r>
      <rPr>
        <i/>
        <sz val="9"/>
        <color rgb="FF595959"/>
        <rFont val="Noto Sans CJK SC"/>
      </rPr>
      <t>で初稿生成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</si>
  <si>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</si>
  <si>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</si>
  <si>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</si>
  <si>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</si>
  <si>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t>評価指標及び算定方法</t>
  </si>
  <si>
    <t>時間軸評価の処理方法、パラメータ根拠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</si>
  <si>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</si>
  <si>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</si>
  <si>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月上旬</t>
    </r>
  </si>
  <si>
    <t>数式・パラメータの精査が必要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</si>
  <si>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</si>
  <si>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</si>
  <si>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</si>
  <si>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</si>
  <si>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t>炭素循環（吸収・固定・放出）の扱い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</si>
  <si>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</si>
  <si>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</si>
  <si>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</si>
  <si>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</si>
  <si>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</si>
  <si>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</si>
  <si>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</si>
  <si>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t>放射強制力の考え方との関係性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</si>
  <si>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</si>
  <si>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</si>
  <si>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</si>
  <si>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</si>
  <si>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</si>
  <si>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</si>
  <si>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</si>
  <si>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11"/>
        <color theme="1"/>
        <rFont val="Noto Sans CJK SC"/>
      </rPr>
      <t>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算定における位置付け</t>
    </r>
  </si>
  <si>
    <t>算定環境（マニュアル、ツール、人材育成）の状況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</si>
  <si>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</si>
  <si>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</si>
  <si>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</si>
  <si>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</si>
  <si>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</si>
  <si>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</si>
  <si>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</si>
  <si>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11"/>
        <color theme="1"/>
        <rFont val="Noto Sans CJK SC"/>
      </rPr>
      <t>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算定における位置付け</t>
    </r>
  </si>
  <si>
    <r>
      <rPr>
        <sz val="11"/>
        <color theme="1"/>
        <rFont val="Noto Sans CJK SC"/>
      </rPr>
      <t>静的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評価との関係性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</si>
  <si>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</si>
  <si>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</si>
  <si>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</si>
  <si>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</si>
  <si>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</si>
  <si>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</si>
  <si>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</si>
  <si>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11"/>
        <color theme="1"/>
        <rFont val="Noto Sans CJK SC"/>
      </rPr>
      <t>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算定における位置付け</t>
    </r>
  </si>
  <si>
    <t>評価結果の利用方法、表示方法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</si>
  <si>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</si>
  <si>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</si>
  <si>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</si>
  <si>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</si>
  <si>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</si>
  <si>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</si>
  <si>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</si>
  <si>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11"/>
        <color theme="1"/>
        <rFont val="Noto Sans CJK SC"/>
      </rPr>
      <t>建材の</t>
    </r>
    <r>
      <rPr>
        <sz val="11"/>
        <color theme="1"/>
        <rFont val="Arial"/>
        <family val="2"/>
      </rPr>
      <t>CO₂</t>
    </r>
    <r>
      <rPr>
        <sz val="11"/>
        <color theme="1"/>
        <rFont val="Noto Sans CJK SC"/>
      </rPr>
      <t>等排出量原単位データベースの構造分析</t>
    </r>
  </si>
  <si>
    <r>
      <rPr>
        <sz val="11"/>
        <color theme="1"/>
        <rFont val="Arial"/>
        <family val="2"/>
      </rPr>
      <t>INIES</t>
    </r>
    <r>
      <rPr>
        <sz val="11"/>
        <color theme="1"/>
        <rFont val="Noto Sans CJK SC"/>
      </rPr>
      <t>におけるデータ格納状況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</si>
  <si>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</t>
    </r>
    <r>
      <rPr>
        <sz val="9"/>
        <color theme="1"/>
        <rFont val="Arial"/>
        <family val="2"/>
      </rPr>
      <t>DB</t>
    </r>
    <r>
      <rPr>
        <sz val="9"/>
        <color theme="1"/>
        <rFont val="Noto Sans CJK SC"/>
      </rPr>
      <t>スキーマ・データ構造を自動分析、表形式整理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</si>
  <si>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</si>
  <si>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月下旬</t>
    </r>
  </si>
  <si>
    <r>
      <rPr>
        <i/>
        <sz val="9"/>
        <color rgb="FF595959"/>
        <rFont val="Arial"/>
        <family val="2"/>
      </rPr>
      <t>DB</t>
    </r>
    <r>
      <rPr>
        <i/>
        <sz val="9"/>
        <color rgb="FF595959"/>
        <rFont val="Noto Sans CJK SC"/>
      </rPr>
      <t>スキーマ分析は</t>
    </r>
    <r>
      <rPr>
        <i/>
        <sz val="9"/>
        <color rgb="FF595959"/>
        <rFont val="Arial"/>
        <family val="2"/>
      </rPr>
      <t>AI</t>
    </r>
    <r>
      <rPr>
        <i/>
        <sz val="9"/>
        <color rgb="FF595959"/>
        <rFont val="Noto Sans CJK SC"/>
      </rPr>
      <t>が特に得意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</si>
  <si>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</si>
  <si>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</si>
  <si>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</si>
  <si>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</si>
  <si>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11"/>
        <color theme="1"/>
        <rFont val="Noto Sans CJK SC"/>
      </rPr>
      <t>建材の</t>
    </r>
    <r>
      <rPr>
        <sz val="11"/>
        <color theme="1"/>
        <rFont val="Arial"/>
        <family val="2"/>
      </rPr>
      <t>CO₂</t>
    </r>
    <r>
      <rPr>
        <sz val="11"/>
        <color theme="1"/>
        <rFont val="Noto Sans CJK SC"/>
      </rPr>
      <t>等排出量原単位データベースの構造分析</t>
    </r>
  </si>
  <si>
    <t>動的評価に必要なパラメータの設定状況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</si>
  <si>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でパラメータ仕様の翻訳・整理を自動化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</si>
  <si>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</si>
  <si>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</si>
  <si>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</si>
  <si>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</si>
  <si>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</si>
  <si>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</si>
  <si>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11"/>
        <color theme="1"/>
        <rFont val="Noto Sans CJK SC"/>
      </rPr>
      <t>建材の</t>
    </r>
    <r>
      <rPr>
        <sz val="11"/>
        <color theme="1"/>
        <rFont val="Arial"/>
        <family val="2"/>
      </rPr>
      <t>CO₂</t>
    </r>
    <r>
      <rPr>
        <sz val="11"/>
        <color theme="1"/>
        <rFont val="Noto Sans CJK SC"/>
      </rPr>
      <t>等排出量原単位データベースの構造分析</t>
    </r>
  </si>
  <si>
    <r>
      <rPr>
        <sz val="11"/>
        <color theme="1"/>
        <rFont val="Noto Sans CJK SC"/>
      </rPr>
      <t>静的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データとの構造差異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</si>
  <si>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で両者の比較表を自動生成、人間が検証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</si>
  <si>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</si>
  <si>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</si>
  <si>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</si>
  <si>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</si>
  <si>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</si>
  <si>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</si>
  <si>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11"/>
        <color theme="1"/>
        <rFont val="Noto Sans CJK SC"/>
      </rPr>
      <t>建材の</t>
    </r>
    <r>
      <rPr>
        <sz val="11"/>
        <color theme="1"/>
        <rFont val="Arial"/>
        <family val="2"/>
      </rPr>
      <t>CO₂</t>
    </r>
    <r>
      <rPr>
        <sz val="11"/>
        <color theme="1"/>
        <rFont val="Noto Sans CJK SC"/>
      </rPr>
      <t>等排出量原単位データベースの構造分析</t>
    </r>
  </si>
  <si>
    <t>データ更新及び品質管理体制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</si>
  <si>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</si>
  <si>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</si>
  <si>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</si>
  <si>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</si>
  <si>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</si>
  <si>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</si>
  <si>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</si>
  <si>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t>炭素フローモデルの仕様把握</t>
  </si>
  <si>
    <t>木材製品等の炭素貯蔵機能の評価方法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</si>
  <si>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</si>
  <si>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</si>
  <si>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月下旬</t>
    </r>
  </si>
  <si>
    <t>専門的解釈が必要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</si>
  <si>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</si>
  <si>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</si>
  <si>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</si>
  <si>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</si>
  <si>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t>エンドオブライフシナリオのモデル化方法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</si>
  <si>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でシナリオ定義の翻訳・整理、人間が解釈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</si>
  <si>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</si>
  <si>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</si>
  <si>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</si>
  <si>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</si>
  <si>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</si>
  <si>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</si>
  <si>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で根拠資料を翻訳・整理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</si>
  <si>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</si>
  <si>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</si>
  <si>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</si>
  <si>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</si>
  <si>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</si>
  <si>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</si>
  <si>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11"/>
        <color theme="1"/>
        <rFont val="Noto Sans CJK SC"/>
      </rPr>
      <t>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算定プロセスとの接続構造</t>
    </r>
  </si>
  <si>
    <r>
      <rPr>
        <sz val="11"/>
        <color theme="1"/>
        <rFont val="Arial"/>
        <family val="2"/>
      </rPr>
      <t>A-D</t>
    </r>
    <r>
      <rPr>
        <sz val="11"/>
        <color theme="1"/>
        <rFont val="Noto Sans CJK SC"/>
      </rPr>
      <t>モジュールとの関係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</si>
  <si>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</si>
  <si>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</si>
  <si>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</si>
  <si>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</si>
  <si>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</si>
  <si>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</si>
  <si>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</si>
  <si>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11"/>
        <color theme="1"/>
        <rFont val="Noto Sans CJK SC"/>
      </rPr>
      <t>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算定プロセスとの接続構造</t>
    </r>
  </si>
  <si>
    <r>
      <rPr>
        <sz val="11"/>
        <color theme="1"/>
        <rFont val="Arial"/>
        <family val="2"/>
      </rPr>
      <t>LCCO₂</t>
    </r>
    <r>
      <rPr>
        <sz val="11"/>
        <color theme="1"/>
        <rFont val="Noto Sans CJK SC"/>
      </rPr>
      <t>計算フローでの動的評価の位置づけ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</si>
  <si>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</si>
  <si>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</si>
  <si>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</si>
  <si>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</si>
  <si>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</si>
  <si>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</si>
  <si>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</si>
  <si>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11"/>
        <color theme="1"/>
        <rFont val="Noto Sans CJK SC"/>
      </rPr>
      <t>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算定プロセスとの接続構造</t>
    </r>
  </si>
  <si>
    <t>算定結果表示方式</t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</si>
  <si>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</si>
  <si>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</si>
  <si>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月下旬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</si>
  <si>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</si>
  <si>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</si>
  <si>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</si>
  <si>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</si>
  <si>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Noto Sans CJK SC"/>
      </rPr>
      <t>建築及び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関係者へのヒアリング</t>
    </r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</si>
  <si>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導入のメリット・デメリット【メイン</t>
    </r>
    <r>
      <rPr>
        <sz val="11"/>
        <color theme="1"/>
        <rFont val="Arial"/>
        <family val="2"/>
      </rPr>
      <t>:Web</t>
    </r>
    <r>
      <rPr>
        <sz val="11"/>
        <color theme="1"/>
        <rFont val="Noto Sans CJK SC"/>
      </rPr>
      <t>面談】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</si>
  <si>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</si>
  <si>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は質問票作成・議事録整理・要約のみ。実施は人間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</si>
  <si>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</si>
  <si>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</si>
  <si>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通訳費</t>
    </r>
    <r>
      <rPr>
        <sz val="9"/>
        <color theme="1"/>
        <rFont val="Arial"/>
        <family val="2"/>
      </rPr>
      <t>20,000</t>
    </r>
    <r>
      <rPr>
        <sz val="9"/>
        <color theme="1"/>
        <rFont val="Noto Sans CJK SC"/>
      </rPr>
      <t>円</t>
    </r>
    <r>
      <rPr>
        <sz val="9"/>
        <color theme="1"/>
        <rFont val="Arial"/>
        <family val="2"/>
      </rPr>
      <t>+</t>
    </r>
    <r>
      <rPr>
        <sz val="9"/>
        <color theme="1"/>
        <rFont val="Noto Sans CJK SC"/>
      </rPr>
      <t>謝礼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</si>
  <si>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★メイン機関</t>
    </r>
    <r>
      <rPr>
        <i/>
        <sz val="9"/>
        <color rgb="FF595959"/>
        <rFont val="Arial"/>
        <family val="2"/>
      </rPr>
      <t>(LCA</t>
    </r>
    <r>
      <rPr>
        <i/>
        <sz val="9"/>
        <color rgb="FF595959"/>
        <rFont val="Noto Sans CJK SC"/>
      </rPr>
      <t>関係者</t>
    </r>
    <r>
      <rPr>
        <i/>
        <sz val="9"/>
        <color rgb="FF595959"/>
        <rFont val="Arial"/>
        <family val="2"/>
      </rPr>
      <t>)1</t>
    </r>
    <r>
      <rPr>
        <i/>
        <sz val="9"/>
        <color rgb="FF595959"/>
        <rFont val="Noto Sans CJK SC"/>
      </rPr>
      <t>機関に集約。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面談で実施 </t>
    </r>
    <r>
      <rPr>
        <i/>
        <sz val="9"/>
        <color rgb="FF595959"/>
        <rFont val="Arial"/>
        <family val="2"/>
      </rPr>
      <t>/ Web</t>
    </r>
    <r>
      <rPr>
        <i/>
        <sz val="9"/>
        <color rgb="FF595959"/>
        <rFont val="Noto Sans CJK SC"/>
      </rPr>
      <t>面談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>セッション約</t>
    </r>
    <r>
      <rPr>
        <i/>
        <sz val="9"/>
        <color rgb="FF595959"/>
        <rFont val="Arial"/>
        <family val="2"/>
      </rPr>
      <t>60-90</t>
    </r>
    <r>
      <rPr>
        <i/>
        <sz val="9"/>
        <color rgb="FF595959"/>
        <rFont val="Noto Sans CJK SC"/>
      </rPr>
      <t>分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</si>
  <si>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</si>
  <si>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</si>
  <si>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</si>
  <si>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</si>
  <si>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Noto Sans CJK SC"/>
      </rPr>
      <t>建築及び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関係者へのヒアリング</t>
    </r>
  </si>
  <si>
    <r>
      <rPr>
        <sz val="11"/>
        <color theme="1"/>
        <rFont val="Noto Sans CJK SC"/>
      </rPr>
      <t>建築物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の環境整備及び浸透状況【サブ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</si>
  <si>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</si>
  <si>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</si>
  <si>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</si>
  <si>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</si>
  <si>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</si>
  <si>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メール調査</t>
    </r>
    <r>
      <rPr>
        <i/>
        <sz val="9"/>
        <color rgb="FF595959"/>
        <rFont val="Arial"/>
        <family val="2"/>
      </rPr>
      <t>+</t>
    </r>
    <r>
      <rPr>
        <i/>
        <sz val="9"/>
        <color rgb="FF595959"/>
        <rFont val="Noto Sans CJK SC"/>
      </rPr>
      <t>同一機関の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>面談で統合質問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</si>
  <si>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</si>
  <si>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</si>
  <si>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</si>
  <si>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</si>
  <si>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Noto Sans CJK SC"/>
      </rPr>
      <t>建築及び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関係者へのヒアリング</t>
    </r>
  </si>
  <si>
    <r>
      <rPr>
        <sz val="11"/>
        <color theme="1"/>
        <rFont val="Noto Sans CJK SC"/>
      </rPr>
      <t>制度運用上の留意点【サブ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</si>
  <si>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</si>
  <si>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</si>
  <si>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</si>
  <si>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</si>
  <si>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</si>
  <si>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メール調査</t>
    </r>
    <r>
      <rPr>
        <i/>
        <sz val="9"/>
        <color rgb="FF595959"/>
        <rFont val="Arial"/>
        <family val="2"/>
      </rPr>
      <t>+</t>
    </r>
    <r>
      <rPr>
        <i/>
        <sz val="9"/>
        <color rgb="FF595959"/>
        <rFont val="Noto Sans CJK SC"/>
      </rPr>
      <t>同一機関の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>面談で統合質問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</si>
  <si>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</si>
  <si>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</si>
  <si>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</si>
  <si>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</si>
  <si>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Arial"/>
        <family val="2"/>
      </rPr>
      <t>EPD</t>
    </r>
    <r>
      <rPr>
        <sz val="11"/>
        <color theme="1"/>
        <rFont val="Noto Sans CJK SC"/>
      </rPr>
      <t>プログラム運営機関へのヒアリング</t>
    </r>
  </si>
  <si>
    <r>
      <rPr>
        <sz val="11"/>
        <color theme="1"/>
        <rFont val="Arial"/>
        <family val="2"/>
      </rPr>
      <t>EPD</t>
    </r>
    <r>
      <rPr>
        <sz val="11"/>
        <color theme="1"/>
        <rFont val="Noto Sans CJK SC"/>
      </rPr>
      <t>（建材及び建築物）のダイナミック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対応状況【メイン</t>
    </r>
    <r>
      <rPr>
        <sz val="11"/>
        <color theme="1"/>
        <rFont val="Arial"/>
        <family val="2"/>
      </rPr>
      <t>:Web</t>
    </r>
    <r>
      <rPr>
        <sz val="11"/>
        <color theme="1"/>
        <rFont val="Noto Sans CJK SC"/>
      </rPr>
      <t>面談】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</si>
  <si>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</si>
  <si>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は質問票作成・議事録整理・要約のみ。実施は人間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</si>
  <si>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</si>
  <si>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</si>
  <si>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通訳費</t>
    </r>
    <r>
      <rPr>
        <sz val="9"/>
        <color theme="1"/>
        <rFont val="Arial"/>
        <family val="2"/>
      </rPr>
      <t>20,000</t>
    </r>
    <r>
      <rPr>
        <sz val="9"/>
        <color theme="1"/>
        <rFont val="Noto Sans CJK SC"/>
      </rPr>
      <t>円</t>
    </r>
    <r>
      <rPr>
        <sz val="9"/>
        <color theme="1"/>
        <rFont val="Arial"/>
        <family val="2"/>
      </rPr>
      <t>+</t>
    </r>
    <r>
      <rPr>
        <sz val="9"/>
        <color theme="1"/>
        <rFont val="Noto Sans CJK SC"/>
      </rPr>
      <t>謝礼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</si>
  <si>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★メイン機関</t>
    </r>
    <r>
      <rPr>
        <i/>
        <sz val="9"/>
        <color rgb="FF595959"/>
        <rFont val="Arial"/>
        <family val="2"/>
      </rPr>
      <t>(EPD</t>
    </r>
    <r>
      <rPr>
        <i/>
        <sz val="9"/>
        <color rgb="FF595959"/>
        <rFont val="Noto Sans CJK SC"/>
      </rPr>
      <t>運営機関</t>
    </r>
    <r>
      <rPr>
        <i/>
        <sz val="9"/>
        <color rgb="FF595959"/>
        <rFont val="Arial"/>
        <family val="2"/>
      </rPr>
      <t>)1</t>
    </r>
    <r>
      <rPr>
        <i/>
        <sz val="9"/>
        <color rgb="FF595959"/>
        <rFont val="Noto Sans CJK SC"/>
      </rPr>
      <t>機関に集約。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面談で実施 </t>
    </r>
    <r>
      <rPr>
        <i/>
        <sz val="9"/>
        <color rgb="FF595959"/>
        <rFont val="Arial"/>
        <family val="2"/>
      </rPr>
      <t>/ Web</t>
    </r>
    <r>
      <rPr>
        <i/>
        <sz val="9"/>
        <color rgb="FF595959"/>
        <rFont val="Noto Sans CJK SC"/>
      </rPr>
      <t>面談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>セッション約</t>
    </r>
    <r>
      <rPr>
        <i/>
        <sz val="9"/>
        <color rgb="FF595959"/>
        <rFont val="Arial"/>
        <family val="2"/>
      </rPr>
      <t>60-90</t>
    </r>
    <r>
      <rPr>
        <i/>
        <sz val="9"/>
        <color rgb="FF595959"/>
        <rFont val="Noto Sans CJK SC"/>
      </rPr>
      <t>分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</si>
  <si>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</si>
  <si>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</si>
  <si>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</si>
  <si>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</si>
  <si>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Arial"/>
        <family val="2"/>
      </rPr>
      <t>EPD</t>
    </r>
    <r>
      <rPr>
        <sz val="11"/>
        <color theme="1"/>
        <rFont val="Noto Sans CJK SC"/>
      </rPr>
      <t>プログラム運営機関へのヒアリング</t>
    </r>
  </si>
  <si>
    <r>
      <rPr>
        <sz val="11"/>
        <color theme="1"/>
        <rFont val="Noto Sans CJK SC"/>
      </rPr>
      <t>エンドオブライフに係るシナリオの整備状況【サブ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</si>
  <si>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</si>
  <si>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</si>
  <si>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</si>
  <si>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</si>
  <si>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</si>
  <si>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同一機関の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面談で統合質問 </t>
    </r>
    <r>
      <rPr>
        <i/>
        <sz val="9"/>
        <color rgb="FF595959"/>
        <rFont val="Arial"/>
        <family val="2"/>
      </rPr>
      <t>/ Web</t>
    </r>
    <r>
      <rPr>
        <i/>
        <sz val="9"/>
        <color rgb="FF595959"/>
        <rFont val="Noto Sans CJK SC"/>
      </rPr>
      <t>面談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>セッション約</t>
    </r>
    <r>
      <rPr>
        <i/>
        <sz val="9"/>
        <color rgb="FF595959"/>
        <rFont val="Arial"/>
        <family val="2"/>
      </rPr>
      <t>60-90</t>
    </r>
    <r>
      <rPr>
        <i/>
        <sz val="9"/>
        <color rgb="FF595959"/>
        <rFont val="Noto Sans CJK SC"/>
      </rPr>
      <t>分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</si>
  <si>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</si>
  <si>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</si>
  <si>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</si>
  <si>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</si>
  <si>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Arial"/>
        <family val="2"/>
      </rPr>
      <t>EPD</t>
    </r>
    <r>
      <rPr>
        <sz val="11"/>
        <color theme="1"/>
        <rFont val="Noto Sans CJK SC"/>
      </rPr>
      <t>プログラム運営機関へのヒアリング</t>
    </r>
  </si>
  <si>
    <r>
      <rPr>
        <sz val="11"/>
        <color theme="1"/>
        <rFont val="Noto Sans CJK SC"/>
      </rPr>
      <t>実務上の課題【サブ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</si>
  <si>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</si>
  <si>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</si>
  <si>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</si>
  <si>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</si>
  <si>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</si>
  <si>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同一機関の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面談で統合質問 </t>
    </r>
    <r>
      <rPr>
        <i/>
        <sz val="9"/>
        <color rgb="FF595959"/>
        <rFont val="Arial"/>
        <family val="2"/>
      </rPr>
      <t>/ Web</t>
    </r>
    <r>
      <rPr>
        <i/>
        <sz val="9"/>
        <color rgb="FF595959"/>
        <rFont val="Noto Sans CJK SC"/>
      </rPr>
      <t>面談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>セッション約</t>
    </r>
    <r>
      <rPr>
        <i/>
        <sz val="9"/>
        <color rgb="FF595959"/>
        <rFont val="Arial"/>
        <family val="2"/>
      </rPr>
      <t>60-90</t>
    </r>
    <r>
      <rPr>
        <i/>
        <sz val="9"/>
        <color rgb="FF595959"/>
        <rFont val="Noto Sans CJK SC"/>
      </rPr>
      <t>分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</si>
  <si>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</si>
  <si>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</si>
  <si>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</si>
  <si>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</si>
  <si>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t>環境・建築・木材関係機関へのヒアリング</t>
  </si>
  <si>
    <r>
      <rPr>
        <sz val="11"/>
        <color theme="1"/>
        <rFont val="Noto Sans CJK SC"/>
      </rPr>
      <t>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導入による効果【メイン</t>
    </r>
    <r>
      <rPr>
        <sz val="11"/>
        <color theme="1"/>
        <rFont val="Arial"/>
        <family val="2"/>
      </rPr>
      <t>:Web</t>
    </r>
    <r>
      <rPr>
        <sz val="11"/>
        <color theme="1"/>
        <rFont val="Noto Sans CJK SC"/>
      </rPr>
      <t>面談】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</si>
  <si>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</si>
  <si>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は質問票作成・議事録整理・要約のみ。実施は人間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</si>
  <si>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</si>
  <si>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</si>
  <si>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通訳費</t>
    </r>
    <r>
      <rPr>
        <sz val="9"/>
        <color theme="1"/>
        <rFont val="Arial"/>
        <family val="2"/>
      </rPr>
      <t>20,000</t>
    </r>
    <r>
      <rPr>
        <sz val="9"/>
        <color theme="1"/>
        <rFont val="Noto Sans CJK SC"/>
      </rPr>
      <t>円</t>
    </r>
    <r>
      <rPr>
        <sz val="9"/>
        <color theme="1"/>
        <rFont val="Arial"/>
        <family val="2"/>
      </rPr>
      <t>+</t>
    </r>
    <r>
      <rPr>
        <sz val="9"/>
        <color theme="1"/>
        <rFont val="Noto Sans CJK SC"/>
      </rPr>
      <t>謝礼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</si>
  <si>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★メイン機関</t>
    </r>
    <r>
      <rPr>
        <i/>
        <sz val="9"/>
        <color rgb="FF595959"/>
        <rFont val="Arial"/>
        <family val="2"/>
      </rPr>
      <t>(</t>
    </r>
    <r>
      <rPr>
        <i/>
        <sz val="9"/>
        <color rgb="FF595959"/>
        <rFont val="Noto Sans CJK SC"/>
      </rPr>
      <t>木材関係機関</t>
    </r>
    <r>
      <rPr>
        <i/>
        <sz val="9"/>
        <color rgb="FF595959"/>
        <rFont val="Arial"/>
        <family val="2"/>
      </rPr>
      <t>)1</t>
    </r>
    <r>
      <rPr>
        <i/>
        <sz val="9"/>
        <color rgb="FF595959"/>
        <rFont val="Noto Sans CJK SC"/>
      </rPr>
      <t>機関に集約。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面談で実施 </t>
    </r>
    <r>
      <rPr>
        <i/>
        <sz val="9"/>
        <color rgb="FF595959"/>
        <rFont val="Arial"/>
        <family val="2"/>
      </rPr>
      <t>/ Web</t>
    </r>
    <r>
      <rPr>
        <i/>
        <sz val="9"/>
        <color rgb="FF595959"/>
        <rFont val="Noto Sans CJK SC"/>
      </rPr>
      <t>面談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>セッション約</t>
    </r>
    <r>
      <rPr>
        <i/>
        <sz val="9"/>
        <color rgb="FF595959"/>
        <rFont val="Arial"/>
        <family val="2"/>
      </rPr>
      <t>60-90</t>
    </r>
    <r>
      <rPr>
        <i/>
        <sz val="9"/>
        <color rgb="FF595959"/>
        <rFont val="Noto Sans CJK SC"/>
      </rPr>
      <t>分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</si>
  <si>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</si>
  <si>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</si>
  <si>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</si>
  <si>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</si>
  <si>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Noto Sans CJK SC"/>
      </rPr>
      <t>実務上の対応状況【サブ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</si>
  <si>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</si>
  <si>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</si>
  <si>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</si>
  <si>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</si>
  <si>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</si>
  <si>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同一機関の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面談で統合質問 </t>
    </r>
    <r>
      <rPr>
        <i/>
        <sz val="9"/>
        <color rgb="FF595959"/>
        <rFont val="Arial"/>
        <family val="2"/>
      </rPr>
      <t>/ Web</t>
    </r>
    <r>
      <rPr>
        <i/>
        <sz val="9"/>
        <color rgb="FF595959"/>
        <rFont val="Noto Sans CJK SC"/>
      </rPr>
      <t>面談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>セッション約</t>
    </r>
    <r>
      <rPr>
        <i/>
        <sz val="9"/>
        <color rgb="FF595959"/>
        <rFont val="Arial"/>
        <family val="2"/>
      </rPr>
      <t>60-90</t>
    </r>
    <r>
      <rPr>
        <i/>
        <sz val="9"/>
        <color rgb="FF595959"/>
        <rFont val="Noto Sans CJK SC"/>
      </rPr>
      <t>分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</si>
  <si>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</si>
  <si>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</si>
  <si>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</si>
  <si>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</si>
  <si>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Noto Sans CJK SC"/>
      </rPr>
      <t>今後の展望や期待【サブ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</si>
  <si>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</si>
  <si>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</si>
  <si>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</si>
  <si>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</si>
  <si>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</si>
  <si>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t>メール調査のみで対応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</si>
  <si>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</si>
  <si>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</si>
  <si>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</si>
  <si>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</si>
  <si>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11"/>
        <color theme="1"/>
        <rFont val="Noto Sans CJK SC"/>
      </rPr>
      <t>関連する戦略及び施策との接続状況【サブ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</si>
  <si>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</si>
  <si>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</si>
  <si>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</si>
  <si>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</si>
  <si>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</si>
  <si>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</si>
  <si>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</si>
  <si>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</si>
  <si>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</si>
  <si>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t>オ</t>
  </si>
  <si>
    <r>
      <rPr>
        <sz val="11"/>
        <color theme="1"/>
        <rFont val="Noto Sans CJK SC"/>
      </rPr>
      <t>環境建築認証（</t>
    </r>
    <r>
      <rPr>
        <sz val="11"/>
        <color theme="1"/>
        <rFont val="Arial"/>
        <family val="2"/>
      </rPr>
      <t>HQE</t>
    </r>
    <r>
      <rPr>
        <sz val="11"/>
        <color theme="1"/>
        <rFont val="Noto Sans CJK SC"/>
      </rPr>
      <t>、</t>
    </r>
    <r>
      <rPr>
        <sz val="11"/>
        <color theme="1"/>
        <rFont val="Arial"/>
        <family val="2"/>
      </rPr>
      <t>BBCA</t>
    </r>
    <r>
      <rPr>
        <sz val="11"/>
        <color theme="1"/>
        <rFont val="Noto Sans CJK SC"/>
      </rPr>
      <t>、</t>
    </r>
    <r>
      <rPr>
        <sz val="11"/>
        <color theme="1"/>
        <rFont val="Arial"/>
        <family val="2"/>
      </rPr>
      <t>LEED</t>
    </r>
    <r>
      <rPr>
        <sz val="11"/>
        <color theme="1"/>
        <rFont val="Noto Sans CJK SC"/>
      </rPr>
      <t>等）やインパクト金融との関係性【サブ</t>
    </r>
    <r>
      <rPr>
        <sz val="11"/>
        <color theme="1"/>
        <rFont val="Arial"/>
        <family val="2"/>
      </rPr>
      <t>:</t>
    </r>
    <r>
      <rPr>
        <sz val="11"/>
        <color theme="1"/>
        <rFont val="Noto Sans CJK SC"/>
      </rPr>
      <t>メール調査】</t>
    </r>
  </si>
  <si>
    <r>
      <rPr>
        <sz val="11"/>
        <color theme="1"/>
        <rFont val="Noto Sans CJK SC"/>
      </rPr>
      <t>電子メール・</t>
    </r>
    <r>
      <rPr>
        <sz val="11"/>
        <color theme="1"/>
        <rFont val="Arial"/>
        <family val="2"/>
      </rPr>
      <t>Web</t>
    </r>
    <r>
      <rPr>
        <sz val="11"/>
        <color theme="1"/>
        <rFont val="Noto Sans CJK SC"/>
      </rPr>
      <t>面談ヒアリング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</si>
  <si>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で質問票作成・回答要約、人間が検証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</si>
  <si>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>月中旬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</si>
  <si>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</si>
  <si>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sz val="9"/>
        <color theme="1"/>
        <rFont val="Noto Sans CJK SC"/>
      </rPr>
      <t>翻訳費</t>
    </r>
    <r>
      <rPr>
        <sz val="9"/>
        <color theme="1"/>
        <rFont val="Arial"/>
        <family val="2"/>
      </rPr>
      <t>10,000</t>
    </r>
    <r>
      <rPr>
        <sz val="9"/>
        <color theme="1"/>
        <rFont val="Noto Sans CJK SC"/>
      </rPr>
      <t>円</t>
    </r>
  </si>
  <si>
    <r>
      <rPr>
        <i/>
        <sz val="9"/>
        <color rgb="FF595959"/>
        <rFont val="Noto Sans CJK SC"/>
      </rPr>
      <t>同一機関の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面談で統合質問 </t>
    </r>
    <r>
      <rPr>
        <i/>
        <sz val="9"/>
        <color rgb="FF595959"/>
        <rFont val="Arial"/>
        <family val="2"/>
      </rPr>
      <t>/ Web</t>
    </r>
    <r>
      <rPr>
        <i/>
        <sz val="9"/>
        <color rgb="FF595959"/>
        <rFont val="Noto Sans CJK SC"/>
      </rPr>
      <t>面談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>セッション約</t>
    </r>
    <r>
      <rPr>
        <i/>
        <sz val="9"/>
        <color rgb="FF595959"/>
        <rFont val="Arial"/>
        <family val="2"/>
      </rPr>
      <t>60-90</t>
    </r>
    <r>
      <rPr>
        <i/>
        <sz val="9"/>
        <color rgb="FF595959"/>
        <rFont val="Noto Sans CJK SC"/>
      </rPr>
      <t>分</t>
    </r>
  </si>
  <si>
    <t>OH</t>
  </si>
  <si>
    <r>
      <rPr>
        <sz val="11"/>
        <color theme="1"/>
        <rFont val="Arial"/>
        <family val="2"/>
      </rPr>
      <t xml:space="preserve">1. </t>
    </r>
    <r>
      <rPr>
        <sz val="11"/>
        <color theme="1"/>
        <rFont val="Noto Sans CJK SC"/>
      </rPr>
      <t>木材の長期間利用による炭素貯蔵効果の評価手法の検討</t>
    </r>
  </si>
  <si>
    <r>
      <rPr>
        <sz val="11"/>
        <color theme="1"/>
        <rFont val="Arial"/>
        <family val="2"/>
      </rPr>
      <t xml:space="preserve">(1) </t>
    </r>
    <r>
      <rPr>
        <sz val="11"/>
        <color theme="1"/>
        <rFont val="Noto Sans CJK SC"/>
      </rPr>
      <t>フランスのダイナミック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を含む海外での制度事例や検討内容の収集・分析</t>
    </r>
  </si>
  <si>
    <r>
      <rPr>
        <sz val="11"/>
        <color theme="1"/>
        <rFont val="Noto Sans CJK SC"/>
      </rPr>
      <t>① フランス</t>
    </r>
    <r>
      <rPr>
        <sz val="11"/>
        <color theme="1"/>
        <rFont val="Arial"/>
        <family val="2"/>
      </rPr>
      <t>RE2020</t>
    </r>
    <r>
      <rPr>
        <sz val="11"/>
        <color theme="1"/>
        <rFont val="Noto Sans CJK SC"/>
      </rPr>
      <t>におけるダイナミック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関連情報の収集・分析</t>
    </r>
  </si>
  <si>
    <r>
      <rPr>
        <b/>
        <sz val="11"/>
        <color theme="1"/>
        <rFont val="Noto Sans CJK SC"/>
      </rPr>
      <t xml:space="preserve">横断業務 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統合・</t>
    </r>
    <r>
      <rPr>
        <b/>
        <sz val="11"/>
        <color theme="1"/>
        <rFont val="Arial"/>
        <family val="2"/>
      </rPr>
      <t>PMO)</t>
    </r>
  </si>
  <si>
    <t>―</t>
  </si>
  <si>
    <t>プロジェクトマネジメント・全体統合・報告書作成</t>
  </si>
  <si>
    <r>
      <rPr>
        <sz val="11"/>
        <color theme="1"/>
        <rFont val="Noto Sans CJK SC"/>
      </rPr>
      <t>キックオフ、定例</t>
    </r>
    <r>
      <rPr>
        <sz val="11"/>
        <color theme="1"/>
        <rFont val="Arial"/>
        <family val="2"/>
      </rPr>
      <t>MTG</t>
    </r>
    <r>
      <rPr>
        <sz val="11"/>
        <color theme="1"/>
        <rFont val="Noto Sans CJK SC"/>
      </rPr>
      <t>、進捗管理、章間整合、パワポ形式の最終報告書作成・納品</t>
    </r>
  </si>
  <si>
    <t>プロジェクトマネジメント</t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</si>
  <si>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でパワポ初稿</t>
    </r>
    <r>
      <rPr>
        <sz val="9"/>
        <color theme="1"/>
        <rFont val="Arial"/>
        <family val="2"/>
      </rPr>
      <t>(</t>
    </r>
    <r>
      <rPr>
        <sz val="9"/>
        <color theme="1"/>
        <rFont val="Noto Sans CJK SC"/>
      </rPr>
      <t>スライド構成</t>
    </r>
    <r>
      <rPr>
        <sz val="9"/>
        <color theme="1"/>
        <rFont val="Arial"/>
        <family val="2"/>
      </rPr>
      <t>+</t>
    </r>
    <r>
      <rPr>
        <sz val="9"/>
        <color theme="1"/>
        <rFont val="Noto Sans CJK SC"/>
      </rPr>
      <t>文案</t>
    </r>
    <r>
      <rPr>
        <sz val="9"/>
        <color theme="1"/>
        <rFont val="Arial"/>
        <family val="2"/>
      </rPr>
      <t>)</t>
    </r>
    <r>
      <rPr>
        <sz val="9"/>
        <color theme="1"/>
        <rFont val="Noto Sans CJK SC"/>
      </rPr>
      <t>生成、人間が編集確認。文章執筆工数を大幅削減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</si>
  <si>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月上旬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</si>
  <si>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月中旬</t>
    </r>
  </si>
  <si>
    <r>
      <rPr>
        <i/>
        <sz val="9"/>
        <color rgb="FF595959"/>
        <rFont val="Noto Sans CJK SC"/>
      </rPr>
      <t>全期間を通じて発生。パワポ形式の納品物。</t>
    </r>
    <r>
      <rPr>
        <i/>
        <sz val="9"/>
        <color rgb="FF595959"/>
        <rFont val="Arial"/>
        <family val="2"/>
      </rPr>
      <t>AI</t>
    </r>
    <r>
      <rPr>
        <i/>
        <sz val="9"/>
        <color rgb="FF595959"/>
        <rFont val="Noto Sans CJK SC"/>
      </rPr>
      <t>でスライド初稿生成、人間が編集確認</t>
    </r>
  </si>
  <si>
    <t>AI</t>
  </si>
  <si>
    <r>
      <rPr>
        <b/>
        <sz val="11"/>
        <color theme="1"/>
        <rFont val="Arial"/>
        <family val="2"/>
      </rPr>
      <t>AI</t>
    </r>
    <r>
      <rPr>
        <b/>
        <sz val="11"/>
        <color theme="1"/>
        <rFont val="Noto Sans CJK SC"/>
      </rPr>
      <t>利用ツール費用</t>
    </r>
  </si>
  <si>
    <r>
      <rPr>
        <sz val="11"/>
        <color theme="1"/>
        <rFont val="Arial"/>
        <family val="2"/>
      </rPr>
      <t>Claude Pro/ChatGPT Plus/DeepL Pro</t>
    </r>
    <r>
      <rPr>
        <sz val="11"/>
        <color theme="1"/>
        <rFont val="Noto Sans CJK SC"/>
      </rPr>
      <t xml:space="preserve">等 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>ヶ月分</t>
    </r>
  </si>
  <si>
    <r>
      <rPr>
        <sz val="9"/>
        <color theme="1"/>
        <rFont val="Arial"/>
        <family val="2"/>
      </rPr>
      <t xml:space="preserve">Claude Pro: </t>
    </r>
    <r>
      <rPr>
        <sz val="9"/>
        <color theme="1"/>
        <rFont val="Noto Sans CJK SC"/>
      </rPr>
      <t>月</t>
    </r>
    <r>
      <rPr>
        <sz val="9"/>
        <color theme="1"/>
        <rFont val="Arial"/>
        <family val="2"/>
      </rPr>
      <t>3,000</t>
    </r>
    <r>
      <rPr>
        <sz val="9"/>
        <color theme="1"/>
        <rFont val="Noto Sans CJK SC"/>
      </rPr>
      <t>円</t>
    </r>
    <r>
      <rPr>
        <sz val="9"/>
        <color theme="1"/>
        <rFont val="Arial"/>
        <family val="2"/>
      </rPr>
      <t xml:space="preserve">×6 + ChatGPT Plus: </t>
    </r>
    <r>
      <rPr>
        <sz val="9"/>
        <color theme="1"/>
        <rFont val="Noto Sans CJK SC"/>
      </rPr>
      <t>月</t>
    </r>
    <r>
      <rPr>
        <sz val="9"/>
        <color theme="1"/>
        <rFont val="Arial"/>
        <family val="2"/>
      </rPr>
      <t>3,000</t>
    </r>
    <r>
      <rPr>
        <sz val="9"/>
        <color theme="1"/>
        <rFont val="Noto Sans CJK SC"/>
      </rPr>
      <t>円</t>
    </r>
    <r>
      <rPr>
        <sz val="9"/>
        <color theme="1"/>
        <rFont val="Arial"/>
        <family val="2"/>
      </rPr>
      <t xml:space="preserve">×6 + DeepL Pro: </t>
    </r>
    <r>
      <rPr>
        <sz val="9"/>
        <color theme="1"/>
        <rFont val="Noto Sans CJK SC"/>
      </rPr>
      <t>月</t>
    </r>
    <r>
      <rPr>
        <sz val="9"/>
        <color theme="1"/>
        <rFont val="Arial"/>
        <family val="2"/>
      </rPr>
      <t>1,500</t>
    </r>
    <r>
      <rPr>
        <sz val="9"/>
        <color theme="1"/>
        <rFont val="Noto Sans CJK SC"/>
      </rPr>
      <t>円</t>
    </r>
    <r>
      <rPr>
        <sz val="9"/>
        <color theme="1"/>
        <rFont val="Arial"/>
        <family val="2"/>
      </rPr>
      <t>×6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</si>
  <si>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</si>
  <si>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>月</t>
    </r>
  </si>
  <si>
    <r>
      <rPr>
        <sz val="9"/>
        <color theme="1"/>
        <rFont val="Arial"/>
        <family val="2"/>
      </rPr>
      <t>AI/</t>
    </r>
    <r>
      <rPr>
        <sz val="9"/>
        <color theme="1"/>
        <rFont val="Noto Sans CJK SC"/>
      </rPr>
      <t xml:space="preserve">翻訳ツールサブスク </t>
    </r>
    <r>
      <rPr>
        <sz val="9"/>
        <color theme="1"/>
        <rFont val="Arial"/>
        <family val="2"/>
      </rPr>
      <t>6</t>
    </r>
    <r>
      <rPr>
        <sz val="9"/>
        <color theme="1"/>
        <rFont val="Noto Sans CJK SC"/>
      </rPr>
      <t>ヶ月分</t>
    </r>
  </si>
  <si>
    <r>
      <rPr>
        <i/>
        <sz val="9"/>
        <color rgb="FF595959"/>
        <rFont val="Noto Sans CJK SC"/>
      </rPr>
      <t>プロジェクト遂行に必要な</t>
    </r>
    <r>
      <rPr>
        <i/>
        <sz val="9"/>
        <color rgb="FF595959"/>
        <rFont val="Arial"/>
        <family val="2"/>
      </rPr>
      <t>AI</t>
    </r>
    <r>
      <rPr>
        <i/>
        <sz val="9"/>
        <color rgb="FF595959"/>
        <rFont val="Noto Sans CJK SC"/>
      </rPr>
      <t>ツールのサブスクリプション</t>
    </r>
  </si>
  <si>
    <t>合計</t>
  </si>
  <si>
    <t>予算上限</t>
  </si>
  <si>
    <t>差額（予算 − 見積）</t>
  </si>
  <si>
    <t>予算消化率</t>
  </si>
  <si>
    <t>【稼働量チェック】月別稼働量を反映</t>
  </si>
  <si>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月〜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 xml:space="preserve">月 </t>
    </r>
    <r>
      <rPr>
        <sz val="11"/>
        <color theme="1"/>
        <rFont val="Arial"/>
        <family val="2"/>
      </rPr>
      <t>(9</t>
    </r>
    <r>
      <rPr>
        <sz val="11"/>
        <color theme="1"/>
        <rFont val="Noto Sans CJK SC"/>
      </rPr>
      <t xml:space="preserve">週 </t>
    </r>
    <r>
      <rPr>
        <sz val="11"/>
        <color theme="1"/>
        <rFont val="Arial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Arial"/>
        <family val="2"/>
      </rPr>
      <t>1.5</t>
    </r>
    <r>
      <rPr>
        <sz val="11"/>
        <color theme="1"/>
        <rFont val="Noto Sans CJK SC"/>
      </rPr>
      <t>日</t>
    </r>
    <r>
      <rPr>
        <sz val="11"/>
        <color theme="1"/>
        <rFont val="Arial"/>
        <family val="2"/>
      </rPr>
      <t>)</t>
    </r>
  </si>
  <si>
    <t>人日</t>
  </si>
  <si>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月〜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 xml:space="preserve">月 </t>
    </r>
    <r>
      <rPr>
        <sz val="11"/>
        <color theme="1"/>
        <rFont val="Arial"/>
        <family val="2"/>
      </rPr>
      <t>(9</t>
    </r>
    <r>
      <rPr>
        <sz val="11"/>
        <color theme="1"/>
        <rFont val="Noto Sans CJK SC"/>
      </rPr>
      <t xml:space="preserve">週 </t>
    </r>
    <r>
      <rPr>
        <sz val="11"/>
        <color theme="1"/>
        <rFont val="Arial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Arial"/>
        <family val="2"/>
      </rPr>
      <t>2.25</t>
    </r>
    <r>
      <rPr>
        <sz val="11"/>
        <color theme="1"/>
        <rFont val="Noto Sans CJK SC"/>
      </rPr>
      <t>日 ★授業減で増加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</si>
  <si>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月〜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 xml:space="preserve">月中旬 </t>
    </r>
    <r>
      <rPr>
        <sz val="11"/>
        <color theme="1"/>
        <rFont val="Arial"/>
        <family val="2"/>
      </rPr>
      <t>(6</t>
    </r>
    <r>
      <rPr>
        <sz val="11"/>
        <color theme="1"/>
        <rFont val="Noto Sans CJK SC"/>
      </rPr>
      <t xml:space="preserve">週 </t>
    </r>
    <r>
      <rPr>
        <sz val="11"/>
        <color theme="1"/>
        <rFont val="Arial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Arial"/>
        <family val="2"/>
      </rPr>
      <t>1.5</t>
    </r>
    <r>
      <rPr>
        <sz val="11"/>
        <color theme="1"/>
        <rFont val="Noto Sans CJK SC"/>
      </rPr>
      <t>日</t>
    </r>
    <r>
      <rPr>
        <sz val="11"/>
        <color theme="1"/>
        <rFont val="Arial"/>
        <family val="2"/>
      </rPr>
      <t>)</t>
    </r>
  </si>
  <si>
    <t>稼働可能総工数</t>
  </si>
  <si>
    <r>
      <rPr>
        <b/>
        <sz val="11"/>
        <color theme="1"/>
        <rFont val="Noto Sans CJK SC"/>
      </rPr>
      <t xml:space="preserve">必要工数 </t>
    </r>
    <r>
      <rPr>
        <b/>
        <sz val="11"/>
        <color theme="1"/>
        <rFont val="Arial"/>
        <family val="2"/>
      </rPr>
      <t>(AI</t>
    </r>
    <r>
      <rPr>
        <b/>
        <sz val="11"/>
        <color theme="1"/>
        <rFont val="Noto Sans CJK SC"/>
      </rPr>
      <t>活用後・フルスコープ</t>
    </r>
    <r>
      <rPr>
        <b/>
        <sz val="11"/>
        <color theme="1"/>
        <rFont val="Arial"/>
        <family val="2"/>
      </rPr>
      <t>)</t>
    </r>
  </si>
  <si>
    <r>
      <rPr>
        <b/>
        <sz val="11"/>
        <color theme="1"/>
        <rFont val="Noto Sans CJK SC"/>
      </rPr>
      <t xml:space="preserve">稼働の余裕 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可能−必要</t>
    </r>
    <r>
      <rPr>
        <b/>
        <sz val="11"/>
        <color theme="1"/>
        <rFont val="Arial"/>
        <family val="2"/>
      </rPr>
      <t>)</t>
    </r>
  </si>
  <si>
    <r>
      <rPr>
        <b/>
        <sz val="14"/>
        <color theme="1"/>
        <rFont val="Noto Sans CJK SC"/>
      </rPr>
      <t xml:space="preserve">ブロック別 </t>
    </r>
    <r>
      <rPr>
        <b/>
        <sz val="14"/>
        <color theme="1"/>
        <rFont val="Arial"/>
        <family val="2"/>
      </rPr>
      <t>AI</t>
    </r>
    <r>
      <rPr>
        <b/>
        <sz val="14"/>
        <color theme="1"/>
        <rFont val="Noto Sans CJK SC"/>
      </rPr>
      <t>活用効果と費用サマリー</t>
    </r>
  </si>
  <si>
    <t>項目数</t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</si>
  <si>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活用前
工数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</si>
  <si>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活用後
工数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</si>
  <si>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 xml:space="preserve">削減工数
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</si>
  <si>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 xml:space="preserve">削減率
</t>
    </r>
    <r>
      <rPr>
        <b/>
        <sz val="11"/>
        <color rgb="FFFFFFFF"/>
        <rFont val="Arial"/>
        <family val="2"/>
      </rPr>
      <t>(%)</t>
    </r>
  </si>
  <si>
    <r>
      <rPr>
        <b/>
        <sz val="11"/>
        <color rgb="FFFFFFFF"/>
        <rFont val="Noto Sans CJK SC"/>
      </rPr>
      <t xml:space="preserve">人件費合計
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</si>
  <si>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 xml:space="preserve">実際にかかる費用合計
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</si>
  <si>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</si>
  <si>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</si>
  <si>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</si>
  <si>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</si>
  <si>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b/>
        <sz val="11"/>
        <color theme="1"/>
        <rFont val="Noto Sans CJK SC"/>
      </rPr>
      <t xml:space="preserve">横断業務 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統合・</t>
    </r>
    <r>
      <rPr>
        <b/>
        <sz val="11"/>
        <color theme="1"/>
        <rFont val="Arial"/>
        <family val="2"/>
      </rPr>
      <t>PMO)</t>
    </r>
  </si>
  <si>
    <r>
      <rPr>
        <b/>
        <sz val="11"/>
        <color theme="1"/>
        <rFont val="Arial"/>
        <family val="2"/>
      </rPr>
      <t>AI</t>
    </r>
    <r>
      <rPr>
        <b/>
        <sz val="11"/>
        <color theme="1"/>
        <rFont val="Noto Sans CJK SC"/>
      </rPr>
      <t>利用ツール費用</t>
    </r>
  </si>
  <si>
    <r>
      <rPr>
        <b/>
        <sz val="11"/>
        <color theme="1"/>
        <rFont val="Noto Sans CJK SC"/>
      </rPr>
      <t xml:space="preserve">差額 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予算 − 見積</t>
    </r>
    <r>
      <rPr>
        <b/>
        <sz val="11"/>
        <color theme="1"/>
        <rFont val="Arial"/>
        <family val="2"/>
      </rPr>
      <t>)</t>
    </r>
  </si>
  <si>
    <r>
      <rPr>
        <sz val="11"/>
        <color theme="1"/>
        <rFont val="Calibri"/>
        <family val="2"/>
      </rPr>
      <t>5</t>
    </r>
    <r>
      <rPr>
        <sz val="11"/>
        <color theme="1"/>
        <rFont val="Noto Sans CJK SC"/>
      </rPr>
      <t>月〜</t>
    </r>
    <r>
      <rPr>
        <sz val="11"/>
        <color theme="1"/>
        <rFont val="Calibri"/>
        <family val="2"/>
      </rPr>
      <t>6</t>
    </r>
    <r>
      <rPr>
        <sz val="11"/>
        <color theme="1"/>
        <rFont val="Noto Sans CJK SC"/>
      </rPr>
      <t xml:space="preserve">月 </t>
    </r>
    <r>
      <rPr>
        <sz val="11"/>
        <color theme="1"/>
        <rFont val="Calibri"/>
        <family val="2"/>
      </rPr>
      <t>(9</t>
    </r>
    <r>
      <rPr>
        <sz val="11"/>
        <color theme="1"/>
        <rFont val="Noto Sans CJK SC"/>
      </rPr>
      <t xml:space="preserve">週 </t>
    </r>
    <r>
      <rPr>
        <sz val="11"/>
        <color theme="1"/>
        <rFont val="Calibri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Calibri"/>
        <family val="2"/>
      </rPr>
      <t>1.5</t>
    </r>
    <r>
      <rPr>
        <sz val="11"/>
        <color theme="1"/>
        <rFont val="Noto Sans CJK SC"/>
      </rPr>
      <t>日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</si>
  <si>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7</t>
    </r>
    <r>
      <rPr>
        <sz val="11"/>
        <color theme="1"/>
        <rFont val="Noto Sans CJK SC"/>
      </rPr>
      <t>月〜</t>
    </r>
    <r>
      <rPr>
        <sz val="11"/>
        <color theme="1"/>
        <rFont val="Calibri"/>
        <family val="2"/>
      </rPr>
      <t>8</t>
    </r>
    <r>
      <rPr>
        <sz val="11"/>
        <color theme="1"/>
        <rFont val="Noto Sans CJK SC"/>
      </rPr>
      <t xml:space="preserve">月 </t>
    </r>
    <r>
      <rPr>
        <sz val="11"/>
        <color theme="1"/>
        <rFont val="Calibri"/>
        <family val="2"/>
      </rPr>
      <t>(9</t>
    </r>
    <r>
      <rPr>
        <sz val="11"/>
        <color theme="1"/>
        <rFont val="Noto Sans CJK SC"/>
      </rPr>
      <t xml:space="preserve">週 </t>
    </r>
    <r>
      <rPr>
        <sz val="11"/>
        <color theme="1"/>
        <rFont val="Calibri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Calibri"/>
        <family val="2"/>
      </rPr>
      <t>2.25</t>
    </r>
    <r>
      <rPr>
        <sz val="11"/>
        <color theme="1"/>
        <rFont val="Noto Sans CJK SC"/>
      </rPr>
      <t>日 ★授業減で増加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</si>
  <si>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9</t>
    </r>
    <r>
      <rPr>
        <sz val="11"/>
        <color theme="1"/>
        <rFont val="Noto Sans CJK SC"/>
      </rPr>
      <t>月〜</t>
    </r>
    <r>
      <rPr>
        <sz val="11"/>
        <color theme="1"/>
        <rFont val="Calibri"/>
        <family val="2"/>
      </rPr>
      <t>10</t>
    </r>
    <r>
      <rPr>
        <sz val="11"/>
        <color theme="1"/>
        <rFont val="Noto Sans CJK SC"/>
      </rPr>
      <t xml:space="preserve">月中旬 </t>
    </r>
    <r>
      <rPr>
        <sz val="11"/>
        <color theme="1"/>
        <rFont val="Calibri"/>
        <family val="2"/>
      </rPr>
      <t>(6</t>
    </r>
    <r>
      <rPr>
        <sz val="11"/>
        <color theme="1"/>
        <rFont val="Noto Sans CJK SC"/>
      </rPr>
      <t xml:space="preserve">週 </t>
    </r>
    <r>
      <rPr>
        <sz val="11"/>
        <color theme="1"/>
        <rFont val="Calibri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Calibri"/>
        <family val="2"/>
      </rPr>
      <t>1.5</t>
    </r>
    <r>
      <rPr>
        <sz val="11"/>
        <color theme="1"/>
        <rFont val="Noto Sans CJK SC"/>
      </rPr>
      <t>日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</si>
  <si>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Noto Sans CJK SC"/>
      </rPr>
      <t xml:space="preserve">必要工数 </t>
    </r>
    <r>
      <rPr>
        <b/>
        <sz val="11"/>
        <color theme="1"/>
        <rFont val="Arial"/>
        <family val="2"/>
      </rPr>
      <t>(AI</t>
    </r>
    <r>
      <rPr>
        <b/>
        <sz val="11"/>
        <color theme="1"/>
        <rFont val="Noto Sans CJK SC"/>
      </rPr>
      <t>活用後</t>
    </r>
    <r>
      <rPr>
        <b/>
        <sz val="11"/>
        <color theme="1"/>
        <rFont val="Arial"/>
        <family val="2"/>
      </rPr>
      <t>)</t>
    </r>
  </si>
  <si>
    <t>稼働の余裕</t>
  </si>
  <si>
    <r>
      <rPr>
        <b/>
        <sz val="12"/>
        <color theme="1"/>
        <rFont val="Noto Sans CJK SC"/>
      </rPr>
      <t>【</t>
    </r>
    <r>
      <rPr>
        <b/>
        <sz val="12"/>
        <color theme="1"/>
        <rFont val="Arial"/>
        <family val="2"/>
      </rPr>
      <t>AI</t>
    </r>
    <r>
      <rPr>
        <b/>
        <sz val="12"/>
        <color theme="1"/>
        <rFont val="Noto Sans CJK SC"/>
      </rPr>
      <t>活用提案サマリー】</t>
    </r>
  </si>
  <si>
    <r>
      <rPr>
        <b/>
        <sz val="10"/>
        <color theme="1"/>
        <rFont val="Noto Sans CJK SC"/>
      </rPr>
      <t xml:space="preserve">■ 高削減群 </t>
    </r>
    <r>
      <rPr>
        <b/>
        <sz val="10"/>
        <color theme="1"/>
        <rFont val="Arial"/>
        <family val="2"/>
      </rPr>
      <t>(</t>
    </r>
    <r>
      <rPr>
        <b/>
        <sz val="10"/>
        <color theme="1"/>
        <rFont val="Noto Sans CJK SC"/>
      </rPr>
      <t>削減率</t>
    </r>
    <r>
      <rPr>
        <b/>
        <sz val="10"/>
        <color theme="1"/>
        <rFont val="Arial"/>
        <family val="2"/>
      </rPr>
      <t xml:space="preserve">60%): </t>
    </r>
    <r>
      <rPr>
        <b/>
        <sz val="10"/>
        <color theme="1"/>
        <rFont val="Noto Sans CJK SC"/>
      </rPr>
      <t>フランス語文献の翻訳・要約・論点抽出</t>
    </r>
  </si>
  <si>
    <r>
      <rPr>
        <sz val="10"/>
        <color theme="1"/>
        <rFont val="Arial"/>
        <family val="2"/>
      </rPr>
      <t xml:space="preserve">   → Claude/ChatGPT</t>
    </r>
    <r>
      <rPr>
        <sz val="10"/>
        <color theme="1"/>
        <rFont val="Noto Sans CJK SC"/>
      </rPr>
      <t xml:space="preserve">で初稿生成 </t>
    </r>
    <r>
      <rPr>
        <sz val="10"/>
        <color theme="1"/>
        <rFont val="Arial"/>
        <family val="2"/>
      </rPr>
      <t>+ DeepL</t>
    </r>
    <r>
      <rPr>
        <sz val="10"/>
        <color theme="1"/>
        <rFont val="Noto Sans CJK SC"/>
      </rPr>
      <t>で翻訳補助。人間は妥当性検証と修正のみ。</t>
    </r>
  </si>
  <si>
    <r>
      <rPr>
        <sz val="10"/>
        <color theme="1"/>
        <rFont val="Noto Sans CJK SC"/>
      </rPr>
      <t xml:space="preserve">   → 対象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Noto Sans CJK SC"/>
      </rPr>
      <t>ブロック</t>
    </r>
    <r>
      <rPr>
        <sz val="10"/>
        <color theme="1"/>
        <rFont val="Arial"/>
        <family val="2"/>
      </rPr>
      <t>(1)</t>
    </r>
    <r>
      <rPr>
        <sz val="10"/>
        <color theme="1"/>
        <rFont val="Noto Sans CJK SC"/>
      </rPr>
      <t>制度化背景全般、</t>
    </r>
    <r>
      <rPr>
        <sz val="10"/>
        <color theme="1"/>
        <rFont val="Arial"/>
        <family val="2"/>
      </rPr>
      <t>INIES</t>
    </r>
    <r>
      <rPr>
        <sz val="10"/>
        <color theme="1"/>
        <rFont val="Noto Sans CJK SC"/>
      </rPr>
      <t>データベース構造分析、結果表示方式等</t>
    </r>
  </si>
  <si>
    <r>
      <rPr>
        <b/>
        <sz val="10"/>
        <color theme="1"/>
        <rFont val="Noto Sans CJK SC"/>
      </rPr>
      <t xml:space="preserve">■ 中削減群 </t>
    </r>
    <r>
      <rPr>
        <b/>
        <sz val="10"/>
        <color theme="1"/>
        <rFont val="Arial"/>
        <family val="2"/>
      </rPr>
      <t>(</t>
    </r>
    <r>
      <rPr>
        <b/>
        <sz val="10"/>
        <color theme="1"/>
        <rFont val="Noto Sans CJK SC"/>
      </rPr>
      <t>削減率</t>
    </r>
    <r>
      <rPr>
        <b/>
        <sz val="10"/>
        <color theme="1"/>
        <rFont val="Arial"/>
        <family val="2"/>
      </rPr>
      <t xml:space="preserve">40-50%): </t>
    </r>
    <r>
      <rPr>
        <b/>
        <sz val="10"/>
        <color theme="1"/>
        <rFont val="Noto Sans CJK SC"/>
      </rPr>
      <t>概念整理・比較表・データ構造分析</t>
    </r>
  </si>
  <si>
    <r>
      <rPr>
        <sz val="10"/>
        <color theme="1"/>
        <rFont val="Arial"/>
        <family val="2"/>
      </rPr>
      <t xml:space="preserve">   → AI</t>
    </r>
    <r>
      <rPr>
        <sz val="10"/>
        <color theme="1"/>
        <rFont val="Noto Sans CJK SC"/>
      </rPr>
      <t>で比較表・概念図の初稿、人間が専門的精査。</t>
    </r>
  </si>
  <si>
    <r>
      <rPr>
        <sz val="10"/>
        <color theme="1"/>
        <rFont val="Noto Sans CJK SC"/>
      </rPr>
      <t xml:space="preserve">   → 対象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Noto Sans CJK SC"/>
      </rPr>
      <t>静的</t>
    </r>
    <r>
      <rPr>
        <sz val="10"/>
        <color theme="1"/>
        <rFont val="Arial"/>
        <family val="2"/>
      </rPr>
      <t>vs</t>
    </r>
    <r>
      <rPr>
        <sz val="10"/>
        <color theme="1"/>
        <rFont val="Noto Sans CJK SC"/>
      </rPr>
      <t>動的</t>
    </r>
    <r>
      <rPr>
        <sz val="10"/>
        <color theme="1"/>
        <rFont val="Arial"/>
        <family val="2"/>
      </rPr>
      <t>LCA</t>
    </r>
    <r>
      <rPr>
        <sz val="10"/>
        <color theme="1"/>
        <rFont val="Noto Sans CJK SC"/>
      </rPr>
      <t>比較、</t>
    </r>
    <r>
      <rPr>
        <sz val="10"/>
        <color theme="1"/>
        <rFont val="Arial"/>
        <family val="2"/>
      </rPr>
      <t>A-D</t>
    </r>
    <r>
      <rPr>
        <sz val="10"/>
        <color theme="1"/>
        <rFont val="Noto Sans CJK SC"/>
      </rPr>
      <t>モジュール構造、評価指標整理等</t>
    </r>
  </si>
  <si>
    <r>
      <rPr>
        <b/>
        <sz val="10"/>
        <color theme="1"/>
        <rFont val="Noto Sans CJK SC"/>
      </rPr>
      <t xml:space="preserve">■ 低削減群 </t>
    </r>
    <r>
      <rPr>
        <b/>
        <sz val="10"/>
        <color theme="1"/>
        <rFont val="Arial"/>
        <family val="2"/>
      </rPr>
      <t>(</t>
    </r>
    <r>
      <rPr>
        <b/>
        <sz val="10"/>
        <color theme="1"/>
        <rFont val="Noto Sans CJK SC"/>
      </rPr>
      <t>削減率</t>
    </r>
    <r>
      <rPr>
        <b/>
        <sz val="10"/>
        <color theme="1"/>
        <rFont val="Arial"/>
        <family val="2"/>
      </rPr>
      <t xml:space="preserve">20-30%): </t>
    </r>
    <r>
      <rPr>
        <b/>
        <sz val="10"/>
        <color theme="1"/>
        <rFont val="Noto Sans CJK SC"/>
      </rPr>
      <t>専門解釈・計算根拠の精査</t>
    </r>
  </si>
  <si>
    <r>
      <rPr>
        <sz val="10"/>
        <color theme="1"/>
        <rFont val="Arial"/>
        <family val="2"/>
      </rPr>
      <t xml:space="preserve">   → AI</t>
    </r>
    <r>
      <rPr>
        <sz val="10"/>
        <color theme="1"/>
        <rFont val="Noto Sans CJK SC"/>
      </rPr>
      <t>は資料整理・論点抽出のみ。最終解釈は人間。</t>
    </r>
  </si>
  <si>
    <r>
      <rPr>
        <sz val="10"/>
        <color theme="1"/>
        <rFont val="Noto Sans CJK SC"/>
      </rPr>
      <t xml:space="preserve">   → 対象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Noto Sans CJK SC"/>
      </rPr>
      <t>遅延排出評価根拠、貯蔵量算定方法、放射強制力等</t>
    </r>
  </si>
  <si>
    <r>
      <rPr>
        <b/>
        <sz val="10"/>
        <color theme="1"/>
        <rFont val="Noto Sans CJK SC"/>
      </rPr>
      <t xml:space="preserve">■ 極低削減群 </t>
    </r>
    <r>
      <rPr>
        <b/>
        <sz val="10"/>
        <color theme="1"/>
        <rFont val="Arial"/>
        <family val="2"/>
      </rPr>
      <t>(</t>
    </r>
    <r>
      <rPr>
        <b/>
        <sz val="10"/>
        <color theme="1"/>
        <rFont val="Noto Sans CJK SC"/>
      </rPr>
      <t>削減率</t>
    </r>
    <r>
      <rPr>
        <b/>
        <sz val="10"/>
        <color theme="1"/>
        <rFont val="Arial"/>
        <family val="2"/>
      </rPr>
      <t xml:space="preserve">10-25%): </t>
    </r>
    <r>
      <rPr>
        <b/>
        <sz val="10"/>
        <color theme="1"/>
        <rFont val="Noto Sans CJK SC"/>
      </rPr>
      <t>ヒアリング実施</t>
    </r>
  </si>
  <si>
    <r>
      <rPr>
        <sz val="10"/>
        <color theme="1"/>
        <rFont val="Arial"/>
        <family val="2"/>
      </rPr>
      <t xml:space="preserve">   → AI</t>
    </r>
    <r>
      <rPr>
        <sz val="10"/>
        <color theme="1"/>
        <rFont val="Noto Sans CJK SC"/>
      </rPr>
      <t>は質問票作成・議事録要約・後処理のみ。実施は人間。</t>
    </r>
  </si>
  <si>
    <r>
      <rPr>
        <sz val="10"/>
        <color theme="1"/>
        <rFont val="Noto Sans CJK SC"/>
      </rPr>
      <t xml:space="preserve">   → 対象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Noto Sans CJK SC"/>
      </rPr>
      <t>ブロック</t>
    </r>
    <r>
      <rPr>
        <sz val="10"/>
        <color theme="1"/>
        <rFont val="Arial"/>
        <family val="2"/>
      </rPr>
      <t>(4)</t>
    </r>
    <r>
      <rPr>
        <sz val="10"/>
        <color theme="1"/>
        <rFont val="Noto Sans CJK SC"/>
      </rPr>
      <t>全項目</t>
    </r>
  </si>
  <si>
    <r>
      <rPr>
        <b/>
        <sz val="10"/>
        <color theme="1"/>
        <rFont val="Noto Sans CJK SC"/>
      </rPr>
      <t>【</t>
    </r>
    <r>
      <rPr>
        <b/>
        <sz val="10"/>
        <color theme="1"/>
        <rFont val="Arial"/>
        <family val="2"/>
      </rPr>
      <t>AI</t>
    </r>
    <r>
      <rPr>
        <b/>
        <sz val="10"/>
        <color theme="1"/>
        <rFont val="Noto Sans CJK SC"/>
      </rPr>
      <t>活用上の重要な注意点】</t>
    </r>
  </si>
  <si>
    <r>
      <rPr>
        <sz val="10"/>
        <color theme="1"/>
        <rFont val="Noto Sans CJK SC"/>
      </rPr>
      <t>・ハルシネーション対策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Noto Sans CJK SC"/>
      </rPr>
      <t>フランス語原文への必ずトレース、</t>
    </r>
    <r>
      <rPr>
        <sz val="10"/>
        <color theme="1"/>
        <rFont val="Arial"/>
        <family val="2"/>
      </rPr>
      <t>AI</t>
    </r>
    <r>
      <rPr>
        <sz val="10"/>
        <color theme="1"/>
        <rFont val="Noto Sans CJK SC"/>
      </rPr>
      <t>出力の</t>
    </r>
    <r>
      <rPr>
        <sz val="10"/>
        <color theme="1"/>
        <rFont val="Arial"/>
        <family val="2"/>
      </rPr>
      <t>100%</t>
    </r>
    <r>
      <rPr>
        <sz val="10"/>
        <color theme="1"/>
        <rFont val="Noto Sans CJK SC"/>
      </rPr>
      <t>人間検証</t>
    </r>
  </si>
  <si>
    <r>
      <rPr>
        <sz val="10"/>
        <color theme="1"/>
        <rFont val="Noto Sans CJK SC"/>
      </rPr>
      <t>・専門用語の対訳辞書を初期に整備し、</t>
    </r>
    <r>
      <rPr>
        <sz val="10"/>
        <color theme="1"/>
        <rFont val="Arial"/>
        <family val="2"/>
      </rPr>
      <t>AI</t>
    </r>
    <r>
      <rPr>
        <sz val="10"/>
        <color theme="1"/>
        <rFont val="Noto Sans CJK SC"/>
      </rPr>
      <t>に参照させる</t>
    </r>
  </si>
  <si>
    <r>
      <rPr>
        <sz val="10"/>
        <color theme="1"/>
        <rFont val="Noto Sans CJK SC"/>
      </rPr>
      <t>・機密性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Noto Sans CJK SC"/>
      </rPr>
      <t>ヒアリング相手から得た非公開情報は</t>
    </r>
    <r>
      <rPr>
        <sz val="10"/>
        <color theme="1"/>
        <rFont val="Arial"/>
        <family val="2"/>
      </rPr>
      <t>AI</t>
    </r>
    <r>
      <rPr>
        <sz val="10"/>
        <color theme="1"/>
        <rFont val="Noto Sans CJK SC"/>
      </rPr>
      <t>に直接投入しない</t>
    </r>
  </si>
  <si>
    <r>
      <rPr>
        <sz val="10"/>
        <color theme="1"/>
        <rFont val="Noto Sans CJK SC"/>
      </rPr>
      <t>・</t>
    </r>
    <r>
      <rPr>
        <sz val="10"/>
        <color theme="1"/>
        <rFont val="Arial"/>
        <family val="2"/>
      </rPr>
      <t>AI</t>
    </r>
    <r>
      <rPr>
        <sz val="10"/>
        <color theme="1"/>
        <rFont val="Noto Sans CJK SC"/>
      </rPr>
      <t>出力をそのまま納品物に流用せず、必ず編集・統合する</t>
    </r>
  </si>
  <si>
    <r>
      <rPr>
        <b/>
        <sz val="14"/>
        <color theme="1"/>
        <rFont val="Noto Sans CJK SC"/>
      </rPr>
      <t xml:space="preserve">実施スケジュール </t>
    </r>
    <r>
      <rPr>
        <b/>
        <sz val="14"/>
        <color theme="1"/>
        <rFont val="Arial"/>
        <family val="2"/>
      </rPr>
      <t>(2026</t>
    </r>
    <r>
      <rPr>
        <b/>
        <sz val="14"/>
        <color theme="1"/>
        <rFont val="Noto Sans CJK SC"/>
      </rPr>
      <t>年</t>
    </r>
    <r>
      <rPr>
        <b/>
        <sz val="14"/>
        <color theme="1"/>
        <rFont val="Arial"/>
        <family val="2"/>
      </rPr>
      <t>5</t>
    </r>
    <r>
      <rPr>
        <b/>
        <sz val="14"/>
        <color theme="1"/>
        <rFont val="Noto Sans CJK SC"/>
      </rPr>
      <t>月〜</t>
    </r>
    <r>
      <rPr>
        <b/>
        <sz val="14"/>
        <color theme="1"/>
        <rFont val="Arial"/>
        <family val="2"/>
      </rPr>
      <t>10</t>
    </r>
    <r>
      <rPr>
        <b/>
        <sz val="14"/>
        <color theme="1"/>
        <rFont val="Noto Sans CJK SC"/>
      </rPr>
      <t>月中旬</t>
    </r>
    <r>
      <rPr>
        <b/>
        <sz val="14"/>
        <color theme="1"/>
        <rFont val="Arial"/>
        <family val="2"/>
      </rPr>
      <t>)</t>
    </r>
  </si>
  <si>
    <t>フェーズ</t>
  </si>
  <si>
    <t>期間</t>
  </si>
  <si>
    <t>主な作業</t>
  </si>
  <si>
    <r>
      <rPr>
        <b/>
        <sz val="11"/>
        <color rgb="FFFFFFFF"/>
        <rFont val="Noto Sans CJK SC"/>
      </rPr>
      <t>工数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</si>
  <si>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theme="1"/>
        <rFont val="Arial"/>
        <family val="2"/>
      </rPr>
      <t xml:space="preserve">Phase 1: </t>
    </r>
    <r>
      <rPr>
        <b/>
        <sz val="11"/>
        <color theme="1"/>
        <rFont val="Noto Sans CJK SC"/>
      </rPr>
      <t>制度化背景・基礎ガイダンス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</si>
  <si>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 xml:space="preserve">月上旬 〜 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 xml:space="preserve">月初旬 </t>
    </r>
    <r>
      <rPr>
        <sz val="11"/>
        <color theme="1"/>
        <rFont val="Arial"/>
        <family val="2"/>
      </rPr>
      <t>(</t>
    </r>
    <r>
      <rPr>
        <sz val="11"/>
        <color theme="1"/>
        <rFont val="Noto Sans CJK SC"/>
      </rPr>
      <t>約</t>
    </r>
    <r>
      <rPr>
        <sz val="11"/>
        <color theme="1"/>
        <rFont val="Arial"/>
        <family val="2"/>
      </rPr>
      <t>5</t>
    </r>
    <r>
      <rPr>
        <sz val="11"/>
        <color theme="1"/>
        <rFont val="Noto Sans CJK SC"/>
      </rPr>
      <t>週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</si>
  <si>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Noto Sans CJK SC"/>
      </rPr>
      <t>ブロック</t>
    </r>
    <r>
      <rPr>
        <sz val="11"/>
        <color theme="1"/>
        <rFont val="Arial"/>
        <family val="2"/>
      </rPr>
      <t>(1)①</t>
    </r>
    <r>
      <rPr>
        <sz val="11"/>
        <color theme="1"/>
        <rFont val="Noto Sans CJK SC"/>
      </rPr>
      <t xml:space="preserve">ア・イ・ウ </t>
    </r>
    <r>
      <rPr>
        <sz val="11"/>
        <color theme="1"/>
        <rFont val="Arial"/>
        <family val="2"/>
      </rPr>
      <t>+ ④</t>
    </r>
    <r>
      <rPr>
        <sz val="11"/>
        <color theme="1"/>
        <rFont val="Noto Sans CJK SC"/>
      </rPr>
      <t xml:space="preserve">全般 </t>
    </r>
    <r>
      <rPr>
        <sz val="11"/>
        <color theme="1"/>
        <rFont val="Arial"/>
        <family val="2"/>
      </rPr>
      <t>(RE2020</t>
    </r>
    <r>
      <rPr>
        <sz val="11"/>
        <color theme="1"/>
        <rFont val="Noto Sans CJK SC"/>
      </rPr>
      <t>全体構造、制度導入背景、フランス林業戦略との関係性</t>
    </r>
    <r>
      <rPr>
        <sz val="11"/>
        <color theme="1"/>
        <rFont val="Arial"/>
        <family val="2"/>
      </rPr>
      <t>)</t>
    </r>
    <r>
      <rPr>
        <sz val="11"/>
        <color theme="1"/>
        <rFont val="Noto Sans CJK SC"/>
      </rPr>
      <t>。</t>
    </r>
    <r>
      <rPr>
        <sz val="11"/>
        <color theme="1"/>
        <rFont val="Arial"/>
        <family val="2"/>
      </rPr>
      <t>AI</t>
    </r>
    <r>
      <rPr>
        <sz val="11"/>
        <color theme="1"/>
        <rFont val="Noto Sans CJK SC"/>
      </rPr>
      <t>翻訳・要約フル活用で初期立ち上げ。</t>
    </r>
  </si>
  <si>
    <r>
      <rPr>
        <sz val="11"/>
        <color theme="1"/>
        <rFont val="Noto Sans CJK SC"/>
      </rPr>
      <t>約</t>
    </r>
    <r>
      <rPr>
        <sz val="11"/>
        <color theme="1"/>
        <rFont val="Arial"/>
        <family val="2"/>
      </rPr>
      <t>7-8</t>
    </r>
    <r>
      <rPr>
        <sz val="11"/>
        <color theme="1"/>
        <rFont val="Noto Sans CJK SC"/>
      </rPr>
      <t>人日</t>
    </r>
  </si>
  <si>
    <r>
      <rPr>
        <b/>
        <sz val="11"/>
        <color theme="1"/>
        <rFont val="Arial"/>
        <family val="2"/>
      </rPr>
      <t xml:space="preserve">Phase 2: </t>
    </r>
    <r>
      <rPr>
        <b/>
        <sz val="11"/>
        <color theme="1"/>
        <rFont val="Noto Sans CJK SC"/>
      </rPr>
      <t>制度要件・技術手法調査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</si>
  <si>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6</t>
    </r>
    <r>
      <rPr>
        <sz val="11"/>
        <color theme="1"/>
        <rFont val="Noto Sans CJK SC"/>
      </rPr>
      <t xml:space="preserve">月中旬 〜 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 xml:space="preserve">月上旬 </t>
    </r>
    <r>
      <rPr>
        <sz val="11"/>
        <color theme="1"/>
        <rFont val="Arial"/>
        <family val="2"/>
      </rPr>
      <t>(</t>
    </r>
    <r>
      <rPr>
        <sz val="11"/>
        <color theme="1"/>
        <rFont val="Noto Sans CJK SC"/>
      </rPr>
      <t>約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>週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</si>
  <si>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Noto Sans CJK SC"/>
      </rPr>
      <t>ブロック</t>
    </r>
    <r>
      <rPr>
        <sz val="11"/>
        <color theme="1"/>
        <rFont val="Arial"/>
        <family val="2"/>
      </rPr>
      <t>(1)</t>
    </r>
    <r>
      <rPr>
        <sz val="11"/>
        <color theme="1"/>
        <rFont val="Noto Sans CJK SC"/>
      </rPr>
      <t xml:space="preserve">残り </t>
    </r>
    <r>
      <rPr>
        <sz val="11"/>
        <color theme="1"/>
        <rFont val="Arial"/>
        <family val="2"/>
      </rPr>
      <t xml:space="preserve">+ </t>
    </r>
    <r>
      <rPr>
        <sz val="11"/>
        <color theme="1"/>
        <rFont val="Noto Sans CJK SC"/>
      </rPr>
      <t>ブロック</t>
    </r>
    <r>
      <rPr>
        <sz val="11"/>
        <color theme="1"/>
        <rFont val="Arial"/>
        <family val="2"/>
      </rPr>
      <t>(2)</t>
    </r>
    <r>
      <rPr>
        <sz val="11"/>
        <color theme="1"/>
        <rFont val="Noto Sans CJK SC"/>
      </rPr>
      <t>技術・手法調査。動的</t>
    </r>
    <r>
      <rPr>
        <sz val="11"/>
        <color theme="1"/>
        <rFont val="Arial"/>
        <family val="2"/>
      </rPr>
      <t>LCA</t>
    </r>
    <r>
      <rPr>
        <sz val="11"/>
        <color theme="1"/>
        <rFont val="Noto Sans CJK SC"/>
      </rPr>
      <t>理論、評価指標、算定方法の整理。</t>
    </r>
  </si>
  <si>
    <r>
      <rPr>
        <sz val="11"/>
        <color theme="1"/>
        <rFont val="Noto Sans CJK SC"/>
      </rPr>
      <t>約</t>
    </r>
    <r>
      <rPr>
        <sz val="11"/>
        <color theme="1"/>
        <rFont val="Arial"/>
        <family val="2"/>
      </rPr>
      <t>10-11</t>
    </r>
    <r>
      <rPr>
        <sz val="11"/>
        <color theme="1"/>
        <rFont val="Noto Sans CJK SC"/>
      </rPr>
      <t>人日</t>
    </r>
  </si>
  <si>
    <r>
      <rPr>
        <b/>
        <sz val="11"/>
        <color theme="1"/>
        <rFont val="Arial"/>
        <family val="2"/>
      </rPr>
      <t xml:space="preserve">Phase 3: </t>
    </r>
    <r>
      <rPr>
        <b/>
        <sz val="11"/>
        <color theme="1"/>
        <rFont val="Noto Sans CJK SC"/>
      </rPr>
      <t xml:space="preserve">情報基盤調査 </t>
    </r>
    <r>
      <rPr>
        <b/>
        <sz val="11"/>
        <color theme="1"/>
        <rFont val="Arial"/>
        <family val="2"/>
      </rPr>
      <t xml:space="preserve">+ </t>
    </r>
    <r>
      <rPr>
        <b/>
        <sz val="11"/>
        <color theme="1"/>
        <rFont val="Noto Sans CJK SC"/>
      </rPr>
      <t>ヒアリング準備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</si>
  <si>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7</t>
    </r>
    <r>
      <rPr>
        <sz val="11"/>
        <color theme="1"/>
        <rFont val="Noto Sans CJK SC"/>
      </rPr>
      <t xml:space="preserve">月上旬 〜 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 xml:space="preserve">月下旬 </t>
    </r>
    <r>
      <rPr>
        <sz val="11"/>
        <color theme="1"/>
        <rFont val="Arial"/>
        <family val="2"/>
      </rPr>
      <t>(</t>
    </r>
    <r>
      <rPr>
        <sz val="11"/>
        <color theme="1"/>
        <rFont val="Noto Sans CJK SC"/>
      </rPr>
      <t>並行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</si>
  <si>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Noto Sans CJK SC"/>
      </rPr>
      <t>ブロック</t>
    </r>
    <r>
      <rPr>
        <sz val="11"/>
        <color theme="1"/>
        <rFont val="Arial"/>
        <family val="2"/>
      </rPr>
      <t>(3)INIES</t>
    </r>
    <r>
      <rPr>
        <sz val="11"/>
        <color theme="1"/>
        <rFont val="Noto Sans CJK SC"/>
      </rPr>
      <t>等のデータベース分析、炭素フローモデル仕様。並行してブロック</t>
    </r>
    <r>
      <rPr>
        <sz val="11"/>
        <color theme="1"/>
        <rFont val="Arial"/>
        <family val="2"/>
      </rPr>
      <t>(4)</t>
    </r>
    <r>
      <rPr>
        <sz val="11"/>
        <color theme="1"/>
        <rFont val="Noto Sans CJK SC"/>
      </rPr>
      <t>ヒアリング相手選定・打診・質問票作成。</t>
    </r>
  </si>
  <si>
    <r>
      <rPr>
        <sz val="11"/>
        <color theme="1"/>
        <rFont val="Noto Sans CJK SC"/>
      </rPr>
      <t>約</t>
    </r>
    <r>
      <rPr>
        <sz val="11"/>
        <color theme="1"/>
        <rFont val="Arial"/>
        <family val="2"/>
      </rPr>
      <t>7-8</t>
    </r>
    <r>
      <rPr>
        <sz val="11"/>
        <color theme="1"/>
        <rFont val="Noto Sans CJK SC"/>
      </rPr>
      <t>人日</t>
    </r>
  </si>
  <si>
    <r>
      <rPr>
        <b/>
        <sz val="11"/>
        <color theme="1"/>
        <rFont val="Arial"/>
        <family val="2"/>
      </rPr>
      <t xml:space="preserve">Phase 4: </t>
    </r>
    <r>
      <rPr>
        <b/>
        <sz val="11"/>
        <color theme="1"/>
        <rFont val="Noto Sans CJK SC"/>
      </rPr>
      <t xml:space="preserve">ヒアリング実施 </t>
    </r>
    <r>
      <rPr>
        <b/>
        <sz val="11"/>
        <color theme="1"/>
        <rFont val="Arial"/>
        <family val="2"/>
      </rPr>
      <t xml:space="preserve">+ </t>
    </r>
    <r>
      <rPr>
        <b/>
        <sz val="11"/>
        <color theme="1"/>
        <rFont val="Noto Sans CJK SC"/>
      </rPr>
      <t>取りまとめ</t>
    </r>
  </si>
  <si>
    <r>
      <rPr>
        <sz val="11"/>
        <color theme="1"/>
        <rFont val="Arial"/>
        <family val="2"/>
      </rPr>
      <t>2026</t>
    </r>
    <r>
      <rPr>
        <sz val="11"/>
        <color theme="1"/>
        <rFont val="Noto Sans CJK SC"/>
      </rPr>
      <t>年</t>
    </r>
    <r>
      <rPr>
        <sz val="11"/>
        <color theme="1"/>
        <rFont val="Arial"/>
        <family val="2"/>
      </rPr>
      <t>8</t>
    </r>
    <r>
      <rPr>
        <sz val="11"/>
        <color theme="1"/>
        <rFont val="Noto Sans CJK SC"/>
      </rPr>
      <t xml:space="preserve">月中旬 〜 </t>
    </r>
    <r>
      <rPr>
        <sz val="11"/>
        <color theme="1"/>
        <rFont val="Arial"/>
        <family val="2"/>
      </rPr>
      <t>10</t>
    </r>
    <r>
      <rPr>
        <sz val="11"/>
        <color theme="1"/>
        <rFont val="Noto Sans CJK SC"/>
      </rPr>
      <t xml:space="preserve">月中旬 </t>
    </r>
    <r>
      <rPr>
        <sz val="11"/>
        <color theme="1"/>
        <rFont val="Arial"/>
        <family val="2"/>
      </rPr>
      <t>(</t>
    </r>
    <r>
      <rPr>
        <sz val="11"/>
        <color theme="1"/>
        <rFont val="Noto Sans CJK SC"/>
      </rPr>
      <t>約</t>
    </r>
    <r>
      <rPr>
        <sz val="11"/>
        <color theme="1"/>
        <rFont val="Arial"/>
        <family val="2"/>
      </rPr>
      <t>9</t>
    </r>
    <r>
      <rPr>
        <sz val="11"/>
        <color theme="1"/>
        <rFont val="Noto Sans CJK SC"/>
      </rPr>
      <t>週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</si>
  <si>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Noto Sans CJK SC"/>
      </rPr>
      <t>ブロック</t>
    </r>
    <r>
      <rPr>
        <sz val="11"/>
        <color theme="1"/>
        <rFont val="Arial"/>
        <family val="2"/>
      </rPr>
      <t>(4)Web</t>
    </r>
    <r>
      <rPr>
        <sz val="11"/>
        <color theme="1"/>
        <rFont val="Noto Sans CJK SC"/>
      </rPr>
      <t>面談</t>
    </r>
    <r>
      <rPr>
        <sz val="11"/>
        <color theme="1"/>
        <rFont val="Arial"/>
        <family val="2"/>
      </rPr>
      <t>3</t>
    </r>
    <r>
      <rPr>
        <sz val="11"/>
        <color theme="1"/>
        <rFont val="Noto Sans CJK SC"/>
      </rPr>
      <t>機関</t>
    </r>
    <r>
      <rPr>
        <sz val="11"/>
        <color theme="1"/>
        <rFont val="Arial"/>
        <family val="2"/>
      </rPr>
      <t>(</t>
    </r>
    <r>
      <rPr>
        <sz val="11"/>
        <color theme="1"/>
        <rFont val="Noto Sans CJK SC"/>
      </rPr>
      <t>各</t>
    </r>
    <r>
      <rPr>
        <sz val="11"/>
        <color theme="1"/>
        <rFont val="Arial"/>
        <family val="2"/>
      </rPr>
      <t>1</t>
    </r>
    <r>
      <rPr>
        <sz val="11"/>
        <color theme="1"/>
        <rFont val="Noto Sans CJK SC"/>
      </rPr>
      <t>セッション</t>
    </r>
    <r>
      <rPr>
        <sz val="11"/>
        <color theme="1"/>
        <rFont val="Arial"/>
        <family val="2"/>
      </rPr>
      <t>)</t>
    </r>
    <r>
      <rPr>
        <sz val="11"/>
        <color theme="1"/>
        <rFont val="Noto Sans CJK SC"/>
      </rPr>
      <t xml:space="preserve">に集約 </t>
    </r>
    <r>
      <rPr>
        <sz val="11"/>
        <color theme="1"/>
        <rFont val="Arial"/>
        <family val="2"/>
      </rPr>
      <t xml:space="preserve">+ </t>
    </r>
    <r>
      <rPr>
        <sz val="11"/>
        <color theme="1"/>
        <rFont val="Noto Sans CJK SC"/>
      </rPr>
      <t>サブ項目はメール調査。並行してパワポ形式の報告書作成</t>
    </r>
    <r>
      <rPr>
        <sz val="11"/>
        <color theme="1"/>
        <rFont val="Arial"/>
        <family val="2"/>
      </rPr>
      <t>(AI</t>
    </r>
    <r>
      <rPr>
        <sz val="11"/>
        <color theme="1"/>
        <rFont val="Noto Sans CJK SC"/>
      </rPr>
      <t>初稿</t>
    </r>
    <r>
      <rPr>
        <sz val="11"/>
        <color theme="1"/>
        <rFont val="Arial"/>
        <family val="2"/>
      </rPr>
      <t>+</t>
    </r>
    <r>
      <rPr>
        <sz val="11"/>
        <color theme="1"/>
        <rFont val="Noto Sans CJK SC"/>
      </rPr>
      <t>人間編集</t>
    </r>
    <r>
      <rPr>
        <sz val="11"/>
        <color theme="1"/>
        <rFont val="Arial"/>
        <family val="2"/>
      </rPr>
      <t>)</t>
    </r>
    <r>
      <rPr>
        <sz val="11"/>
        <color theme="1"/>
        <rFont val="Noto Sans CJK SC"/>
      </rPr>
      <t>、最終納品物作成。</t>
    </r>
  </si>
  <si>
    <r>
      <rPr>
        <sz val="11"/>
        <color theme="1"/>
        <rFont val="Noto Sans CJK SC"/>
      </rPr>
      <t>約</t>
    </r>
    <r>
      <rPr>
        <sz val="11"/>
        <color theme="1"/>
        <rFont val="Arial"/>
        <family val="2"/>
      </rPr>
      <t>7-8</t>
    </r>
    <r>
      <rPr>
        <sz val="11"/>
        <color theme="1"/>
        <rFont val="Noto Sans CJK SC"/>
      </rPr>
      <t>人日</t>
    </r>
  </si>
  <si>
    <t>【スケジュールの前提】</t>
  </si>
  <si>
    <r>
      <rPr>
        <sz val="10"/>
        <color theme="1"/>
        <rFont val="Noto Sans CJK SC"/>
      </rPr>
      <t>・月別稼働量</t>
    </r>
    <r>
      <rPr>
        <sz val="10"/>
        <color theme="1"/>
        <rFont val="Arial"/>
        <family val="2"/>
      </rPr>
      <t>: 5-6</t>
    </r>
    <r>
      <rPr>
        <sz val="10"/>
        <color theme="1"/>
        <rFont val="Noto Sans CJK SC"/>
      </rPr>
      <t>月</t>
    </r>
    <r>
      <rPr>
        <sz val="10"/>
        <color theme="1"/>
        <rFont val="Arial"/>
        <family val="2"/>
      </rPr>
      <t>=</t>
    </r>
    <r>
      <rPr>
        <sz val="10"/>
        <color theme="1"/>
        <rFont val="Noto Sans CJK SC"/>
      </rPr>
      <t>週</t>
    </r>
    <r>
      <rPr>
        <sz val="10"/>
        <color theme="1"/>
        <rFont val="Arial"/>
        <family val="2"/>
      </rPr>
      <t>1.5</t>
    </r>
    <r>
      <rPr>
        <sz val="10"/>
        <color theme="1"/>
        <rFont val="Noto Sans CJK SC"/>
      </rPr>
      <t>日</t>
    </r>
    <r>
      <rPr>
        <sz val="10"/>
        <color theme="1"/>
        <rFont val="Arial"/>
        <family val="2"/>
      </rPr>
      <t>(9</t>
    </r>
    <r>
      <rPr>
        <sz val="10"/>
        <color theme="1"/>
        <rFont val="Noto Sans CJK SC"/>
      </rPr>
      <t>週</t>
    </r>
    <r>
      <rPr>
        <sz val="10"/>
        <color theme="1"/>
        <rFont val="Arial"/>
        <family val="2"/>
      </rPr>
      <t>)</t>
    </r>
    <r>
      <rPr>
        <sz val="10"/>
        <color theme="1"/>
        <rFont val="Noto Sans CJK SC"/>
      </rPr>
      <t>、</t>
    </r>
    <r>
      <rPr>
        <sz val="10"/>
        <color theme="1"/>
        <rFont val="Arial"/>
        <family val="2"/>
      </rPr>
      <t>7-8</t>
    </r>
    <r>
      <rPr>
        <sz val="10"/>
        <color theme="1"/>
        <rFont val="Noto Sans CJK SC"/>
      </rPr>
      <t>月</t>
    </r>
    <r>
      <rPr>
        <sz val="10"/>
        <color theme="1"/>
        <rFont val="Arial"/>
        <family val="2"/>
      </rPr>
      <t>=</t>
    </r>
    <r>
      <rPr>
        <sz val="10"/>
        <color theme="1"/>
        <rFont val="Noto Sans CJK SC"/>
      </rPr>
      <t>週</t>
    </r>
    <r>
      <rPr>
        <sz val="10"/>
        <color theme="1"/>
        <rFont val="Arial"/>
        <family val="2"/>
      </rPr>
      <t>2.25</t>
    </r>
    <r>
      <rPr>
        <sz val="10"/>
        <color theme="1"/>
        <rFont val="Noto Sans CJK SC"/>
      </rPr>
      <t>日</t>
    </r>
    <r>
      <rPr>
        <sz val="10"/>
        <color theme="1"/>
        <rFont val="Arial"/>
        <family val="2"/>
      </rPr>
      <t>(9</t>
    </r>
    <r>
      <rPr>
        <sz val="10"/>
        <color theme="1"/>
        <rFont val="Noto Sans CJK SC"/>
      </rPr>
      <t>週・授業減で増加</t>
    </r>
    <r>
      <rPr>
        <sz val="10"/>
        <color theme="1"/>
        <rFont val="Arial"/>
        <family val="2"/>
      </rPr>
      <t>)</t>
    </r>
    <r>
      <rPr>
        <sz val="10"/>
        <color theme="1"/>
        <rFont val="Noto Sans CJK SC"/>
      </rPr>
      <t>、</t>
    </r>
    <r>
      <rPr>
        <sz val="10"/>
        <color theme="1"/>
        <rFont val="Arial"/>
        <family val="2"/>
      </rPr>
      <t>9-10</t>
    </r>
    <r>
      <rPr>
        <sz val="10"/>
        <color theme="1"/>
        <rFont val="Noto Sans CJK SC"/>
      </rPr>
      <t>月中旬</t>
    </r>
    <r>
      <rPr>
        <sz val="10"/>
        <color theme="1"/>
        <rFont val="Arial"/>
        <family val="2"/>
      </rPr>
      <t>=</t>
    </r>
    <r>
      <rPr>
        <sz val="10"/>
        <color theme="1"/>
        <rFont val="Noto Sans CJK SC"/>
      </rPr>
      <t>週</t>
    </r>
    <r>
      <rPr>
        <sz val="10"/>
        <color theme="1"/>
        <rFont val="Arial"/>
        <family val="2"/>
      </rPr>
      <t>1.5</t>
    </r>
    <r>
      <rPr>
        <sz val="10"/>
        <color theme="1"/>
        <rFont val="Noto Sans CJK SC"/>
      </rPr>
      <t>日</t>
    </r>
    <r>
      <rPr>
        <sz val="10"/>
        <color theme="1"/>
        <rFont val="Arial"/>
        <family val="2"/>
      </rPr>
      <t>(6</t>
    </r>
    <r>
      <rPr>
        <sz val="10"/>
        <color theme="1"/>
        <rFont val="Noto Sans CJK SC"/>
      </rPr>
      <t>週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</si>
  <si>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Noto Sans CJK SC"/>
      </rPr>
      <t>・稼働可能総工数</t>
    </r>
    <r>
      <rPr>
        <sz val="10"/>
        <color theme="1"/>
        <rFont val="Arial"/>
        <family val="2"/>
      </rPr>
      <t>: 13.5 + 20.25 + 9.0 = 42.75</t>
    </r>
    <r>
      <rPr>
        <sz val="10"/>
        <color theme="1"/>
        <rFont val="Noto Sans CJK SC"/>
      </rPr>
      <t>人日</t>
    </r>
  </si>
  <si>
    <r>
      <rPr>
        <sz val="10"/>
        <color theme="1"/>
        <rFont val="Noto Sans CJK SC"/>
      </rPr>
      <t>・★優先群「制度化背景・基礎ガイダンス」は</t>
    </r>
    <r>
      <rPr>
        <sz val="10"/>
        <color theme="1"/>
        <rFont val="Arial"/>
        <family val="2"/>
      </rPr>
      <t>2026</t>
    </r>
    <r>
      <rPr>
        <sz val="10"/>
        <color theme="1"/>
        <rFont val="Noto Sans CJK SC"/>
      </rPr>
      <t>年</t>
    </r>
    <r>
      <rPr>
        <sz val="10"/>
        <color theme="1"/>
        <rFont val="Arial"/>
        <family val="2"/>
      </rPr>
      <t>5</t>
    </r>
    <r>
      <rPr>
        <sz val="10"/>
        <color theme="1"/>
        <rFont val="Noto Sans CJK SC"/>
      </rPr>
      <t>月上旬着手→</t>
    </r>
    <r>
      <rPr>
        <sz val="10"/>
        <color theme="1"/>
        <rFont val="Arial"/>
        <family val="2"/>
      </rPr>
      <t>6</t>
    </r>
    <r>
      <rPr>
        <sz val="10"/>
        <color theme="1"/>
        <rFont val="Noto Sans CJK SC"/>
      </rPr>
      <t>月初旬完了で他項目の基盤を整える</t>
    </r>
  </si>
  <si>
    <r>
      <rPr>
        <sz val="10"/>
        <color theme="1"/>
        <rFont val="Noto Sans CJK SC"/>
      </rPr>
      <t>・残り項目は</t>
    </r>
    <r>
      <rPr>
        <sz val="10"/>
        <color theme="1"/>
        <rFont val="Arial"/>
        <family val="2"/>
      </rPr>
      <t>6</t>
    </r>
    <r>
      <rPr>
        <sz val="10"/>
        <color theme="1"/>
        <rFont val="Noto Sans CJK SC"/>
      </rPr>
      <t>月中旬から並行進行。技術・情報基盤調査は稼働増の</t>
    </r>
    <r>
      <rPr>
        <sz val="10"/>
        <color theme="1"/>
        <rFont val="Arial"/>
        <family val="2"/>
      </rPr>
      <t>7-8</t>
    </r>
    <r>
      <rPr>
        <sz val="10"/>
        <color theme="1"/>
        <rFont val="Noto Sans CJK SC"/>
      </rPr>
      <t>月に重点配分。</t>
    </r>
  </si>
  <si>
    <r>
      <rPr>
        <sz val="10"/>
        <color theme="1"/>
        <rFont val="Noto Sans CJK SC"/>
      </rPr>
      <t>・ヒアリング系は</t>
    </r>
    <r>
      <rPr>
        <sz val="10"/>
        <color theme="1"/>
        <rFont val="Arial"/>
        <family val="2"/>
      </rPr>
      <t>8</t>
    </r>
    <r>
      <rPr>
        <sz val="10"/>
        <color theme="1"/>
        <rFont val="Noto Sans CJK SC"/>
      </rPr>
      <t>月中旬から開始</t>
    </r>
    <r>
      <rPr>
        <sz val="10"/>
        <color theme="1"/>
        <rFont val="Arial"/>
        <family val="2"/>
      </rPr>
      <t>(</t>
    </r>
    <r>
      <rPr>
        <sz val="10"/>
        <color theme="1"/>
        <rFont val="Noto Sans CJK SC"/>
      </rPr>
      <t>夏季休暇後</t>
    </r>
    <r>
      <rPr>
        <sz val="10"/>
        <color theme="1"/>
        <rFont val="Arial"/>
        <family val="2"/>
      </rPr>
      <t>)</t>
    </r>
    <r>
      <rPr>
        <sz val="10"/>
        <color theme="1"/>
        <rFont val="Noto Sans CJK SC"/>
      </rPr>
      <t>、</t>
    </r>
    <r>
      <rPr>
        <sz val="10"/>
        <color theme="1"/>
        <rFont val="Arial"/>
        <family val="2"/>
      </rPr>
      <t>3</t>
    </r>
    <r>
      <rPr>
        <sz val="10"/>
        <color theme="1"/>
        <rFont val="Noto Sans CJK SC"/>
      </rPr>
      <t>機関集約</t>
    </r>
    <r>
      <rPr>
        <sz val="10"/>
        <color theme="1"/>
        <rFont val="Arial"/>
        <family val="2"/>
      </rPr>
      <t>+</t>
    </r>
    <r>
      <rPr>
        <sz val="10"/>
        <color theme="1"/>
        <rFont val="Noto Sans CJK SC"/>
      </rPr>
      <t>メール調査で効率化</t>
    </r>
  </si>
  <si>
    <r>
      <rPr>
        <sz val="10"/>
        <color theme="1"/>
        <rFont val="Noto Sans CJK SC"/>
      </rPr>
      <t>・</t>
    </r>
    <r>
      <rPr>
        <sz val="10"/>
        <color theme="1"/>
        <rFont val="Arial"/>
        <family val="2"/>
      </rPr>
      <t>AI</t>
    </r>
    <r>
      <rPr>
        <sz val="10"/>
        <color theme="1"/>
        <rFont val="Noto Sans CJK SC"/>
      </rPr>
      <t>活用前提のため、文献調査・概念整理・データ整理を早期に効率化</t>
    </r>
  </si>
  <si>
    <r>
      <rPr>
        <sz val="10"/>
        <color theme="1"/>
        <rFont val="Noto Sans CJK SC"/>
      </rPr>
      <t>・最終納品形式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Noto Sans CJK SC"/>
      </rPr>
      <t>パワポ</t>
    </r>
    <r>
      <rPr>
        <sz val="10"/>
        <color theme="1"/>
        <rFont val="Arial"/>
        <family val="2"/>
      </rPr>
      <t>(ppt)</t>
    </r>
    <r>
      <rPr>
        <sz val="10"/>
        <color theme="1"/>
        <rFont val="Noto Sans CJK SC"/>
      </rPr>
      <t xml:space="preserve">スライドデック </t>
    </r>
    <r>
      <rPr>
        <sz val="10"/>
        <color theme="1"/>
        <rFont val="Arial"/>
        <family val="2"/>
      </rPr>
      <t xml:space="preserve">+ </t>
    </r>
    <r>
      <rPr>
        <sz val="10"/>
        <color theme="1"/>
        <rFont val="Noto Sans CJK SC"/>
      </rPr>
      <t>関連データ整理表</t>
    </r>
  </si>
  <si>
    <r>
      <rPr>
        <sz val="10"/>
        <color theme="1"/>
        <rFont val="Noto Sans CJK SC"/>
      </rPr>
      <t>・最終納品</t>
    </r>
    <r>
      <rPr>
        <sz val="10"/>
        <color theme="1"/>
        <rFont val="Arial"/>
        <family val="2"/>
      </rPr>
      <t>: 2026</t>
    </r>
    <r>
      <rPr>
        <sz val="10"/>
        <color theme="1"/>
        <rFont val="Noto Sans CJK SC"/>
      </rPr>
      <t>年</t>
    </r>
    <r>
      <rPr>
        <sz val="10"/>
        <color theme="1"/>
        <rFont val="Arial"/>
        <family val="2"/>
      </rPr>
      <t>10</t>
    </r>
    <r>
      <rPr>
        <sz val="10"/>
        <color theme="1"/>
        <rFont val="Noto Sans CJK SC"/>
      </rPr>
      <t>月中旬目処</t>
    </r>
  </si>
  <si>
    <r>
      <rPr>
        <b/>
        <sz val="14"/>
        <color theme="1"/>
        <rFont val="Noto Sans CJK SC"/>
      </rPr>
      <t>【縮小スコープ案】重要度</t>
    </r>
    <r>
      <rPr>
        <b/>
        <sz val="14"/>
        <color theme="1"/>
        <rFont val="Arial"/>
        <family val="2"/>
      </rPr>
      <t>5</t>
    </r>
    <r>
      <rPr>
        <b/>
        <sz val="14"/>
        <color theme="1"/>
        <rFont val="Noto Sans CJK SC"/>
      </rPr>
      <t>項目のみに絞った場合の見積もり</t>
    </r>
  </si>
  <si>
    <r>
      <rPr>
        <i/>
        <sz val="10"/>
        <color rgb="FF595959"/>
        <rFont val="Noto Sans CJK SC"/>
      </rPr>
      <t>稼働制約</t>
    </r>
    <r>
      <rPr>
        <i/>
        <sz val="10"/>
        <color rgb="FF595959"/>
        <rFont val="Arial"/>
        <family val="2"/>
      </rPr>
      <t>(</t>
    </r>
    <r>
      <rPr>
        <i/>
        <sz val="10"/>
        <color rgb="FF595959"/>
        <rFont val="Noto Sans CJK SC"/>
      </rPr>
      <t>週</t>
    </r>
    <r>
      <rPr>
        <i/>
        <sz val="10"/>
        <color rgb="FF595959"/>
        <rFont val="Arial"/>
        <family val="2"/>
      </rPr>
      <t>1.5</t>
    </r>
    <r>
      <rPr>
        <i/>
        <sz val="10"/>
        <color rgb="FF595959"/>
        <rFont val="Noto Sans CJK SC"/>
      </rPr>
      <t>日</t>
    </r>
    <r>
      <rPr>
        <i/>
        <sz val="10"/>
        <color rgb="FF595959"/>
        <rFont val="Arial"/>
        <family val="2"/>
      </rPr>
      <t>×24</t>
    </r>
    <r>
      <rPr>
        <i/>
        <sz val="10"/>
        <color rgb="FF595959"/>
        <rFont val="Noto Sans CJK SC"/>
      </rPr>
      <t>週</t>
    </r>
    <r>
      <rPr>
        <i/>
        <sz val="10"/>
        <color rgb="FF595959"/>
        <rFont val="Arial"/>
        <family val="2"/>
      </rPr>
      <t>=36</t>
    </r>
    <r>
      <rPr>
        <i/>
        <sz val="10"/>
        <color rgb="FF595959"/>
        <rFont val="Noto Sans CJK SC"/>
      </rPr>
      <t>人日</t>
    </r>
    <r>
      <rPr>
        <i/>
        <sz val="10"/>
        <color rgb="FF595959"/>
        <rFont val="Arial"/>
        <family val="2"/>
      </rPr>
      <t>)</t>
    </r>
    <r>
      <rPr>
        <i/>
        <sz val="10"/>
        <color rgb="FF595959"/>
        <rFont val="Noto Sans CJK SC"/>
      </rPr>
      <t>・予算</t>
    </r>
    <r>
      <rPr>
        <i/>
        <sz val="10"/>
        <color rgb="FF595959"/>
        <rFont val="Arial"/>
        <family val="2"/>
      </rPr>
      <t>300</t>
    </r>
    <r>
      <rPr>
        <i/>
        <sz val="10"/>
        <color rgb="FF595959"/>
        <rFont val="Noto Sans CJK SC"/>
      </rPr>
      <t>万円に確実に収めるため、重要度</t>
    </r>
    <r>
      <rPr>
        <i/>
        <sz val="10"/>
        <color rgb="FF595959"/>
        <rFont val="Arial"/>
        <family val="2"/>
      </rPr>
      <t>5(</t>
    </r>
    <r>
      <rPr>
        <i/>
        <sz val="10"/>
        <color rgb="FF595959"/>
        <rFont val="Noto Sans CJK SC"/>
      </rPr>
      <t>最重要</t>
    </r>
    <r>
      <rPr>
        <i/>
        <sz val="10"/>
        <color rgb="FF595959"/>
        <rFont val="Arial"/>
        <family val="2"/>
      </rPr>
      <t>)</t>
    </r>
    <r>
      <rPr>
        <i/>
        <sz val="10"/>
        <color rgb="FF595959"/>
        <rFont val="Noto Sans CJK SC"/>
      </rPr>
      <t>項目のみに絞った場合の試算</t>
    </r>
  </si>
  <si>
    <t>大細目</t>
  </si>
  <si>
    <t>細目記号</t>
  </si>
  <si>
    <t>重要度</t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</si>
  <si>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活用前
工数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</si>
  <si>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削減率</t>
    </r>
    <r>
      <rPr>
        <b/>
        <sz val="11"/>
        <color rgb="FFFFFFFF"/>
        <rFont val="Arial"/>
        <family val="2"/>
      </rPr>
      <t>(%)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</si>
  <si>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活用ツール・手法</t>
    </r>
  </si>
  <si>
    <r>
      <rPr>
        <b/>
        <sz val="11"/>
        <color rgb="FFFFFFFF"/>
        <rFont val="Arial"/>
        <family val="2"/>
      </rPr>
      <t>AI</t>
    </r>
    <r>
      <rPr>
        <b/>
        <sz val="11"/>
        <color rgb="FFFFFFFF"/>
        <rFont val="Noto Sans CJK SC"/>
      </rPr>
      <t>活用後
工数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</si>
  <si>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 xml:space="preserve">人件費単価
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Noto Sans CJK SC"/>
      </rPr>
      <t>人日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</si>
  <si>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>人件費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</si>
  <si>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 xml:space="preserve">その他コスト
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</si>
  <si>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r>
      <rPr>
        <b/>
        <sz val="11"/>
        <color rgb="FFFFFFFF"/>
        <rFont val="Noto Sans CJK SC"/>
      </rPr>
      <t xml:space="preserve">実際にかかる費用
</t>
    </r>
    <r>
      <rPr>
        <b/>
        <sz val="11"/>
        <color rgb="FFFFFFFF"/>
        <rFont val="Arial"/>
        <family val="2"/>
      </rPr>
      <t>(</t>
    </r>
    <r>
      <rPr>
        <b/>
        <sz val="11"/>
        <color rgb="FFFFFFFF"/>
        <rFont val="Noto Sans CJK SC"/>
      </rPr>
      <t>円</t>
    </r>
    <r>
      <rPr>
        <b/>
        <sz val="11"/>
        <color rgb="FFFFFFFF"/>
        <rFont val="Arial"/>
        <family val="2"/>
      </rPr>
      <t>)</t>
    </r>
  </si>
  <si>
    <t>備考</t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</si>
  <si>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</si>
  <si>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t>建築環境性能評価制度の全体構造</t>
  </si>
  <si>
    <r>
      <rPr>
        <sz val="9"/>
        <color theme="1"/>
        <rFont val="Arial"/>
        <family val="2"/>
      </rPr>
      <t>RE2020</t>
    </r>
    <r>
      <rPr>
        <sz val="9"/>
        <color theme="1"/>
        <rFont val="Noto Sans CJK SC"/>
      </rPr>
      <t>における建築物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の位置付け</t>
    </r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</si>
  <si>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</si>
  <si>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>(5</t>
    </r>
    <r>
      <rPr>
        <i/>
        <sz val="9"/>
        <color rgb="FF595959"/>
        <rFont val="Noto Sans CJK SC"/>
      </rPr>
      <t>月</t>
    </r>
    <r>
      <rPr>
        <i/>
        <sz val="9"/>
        <color rgb="FF595959"/>
        <rFont val="Arial"/>
        <family val="2"/>
      </rPr>
      <t>-6</t>
    </r>
    <r>
      <rPr>
        <i/>
        <sz val="9"/>
        <color rgb="FF595959"/>
        <rFont val="Noto Sans CJK SC"/>
      </rPr>
      <t>月初旬</t>
    </r>
    <r>
      <rPr>
        <i/>
        <sz val="9"/>
        <color rgb="FF595959"/>
        <rFont val="Arial"/>
        <family val="2"/>
      </rPr>
      <t>)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</si>
  <si>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</si>
  <si>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9"/>
        <color theme="1"/>
        <rFont val="Arial"/>
        <family val="2"/>
      </rPr>
      <t>Claude/ChatGPT</t>
    </r>
    <r>
      <rPr>
        <sz val="9"/>
        <color theme="1"/>
        <rFont val="Noto Sans CJK SC"/>
      </rPr>
      <t>でフランス語文献の翻訳・要約・論点抽出を一次処理、</t>
    </r>
    <r>
      <rPr>
        <sz val="9"/>
        <color theme="1"/>
        <rFont val="Arial"/>
        <family val="2"/>
      </rPr>
      <t>DeepL</t>
    </r>
    <r>
      <rPr>
        <sz val="9"/>
        <color theme="1"/>
        <rFont val="Noto Sans CJK SC"/>
      </rPr>
      <t>で補助翻訳、人間が検証</t>
    </r>
  </si>
  <si>
    <r>
      <rPr>
        <i/>
        <sz val="9"/>
        <color rgb="FF595959"/>
        <rFont val="Noto Sans CJK SC"/>
      </rPr>
      <t>★優先群</t>
    </r>
    <r>
      <rPr>
        <i/>
        <sz val="9"/>
        <color rgb="FF595959"/>
        <rFont val="Arial"/>
        <family val="2"/>
      </rPr>
      <t>(5</t>
    </r>
    <r>
      <rPr>
        <i/>
        <sz val="9"/>
        <color rgb="FF595959"/>
        <rFont val="Noto Sans CJK SC"/>
      </rPr>
      <t>月</t>
    </r>
    <r>
      <rPr>
        <i/>
        <sz val="9"/>
        <color rgb="FF595959"/>
        <rFont val="Arial"/>
        <family val="2"/>
      </rPr>
      <t>-6</t>
    </r>
    <r>
      <rPr>
        <i/>
        <sz val="9"/>
        <color rgb="FF595959"/>
        <rFont val="Noto Sans CJK SC"/>
      </rPr>
      <t>月初旬</t>
    </r>
    <r>
      <rPr>
        <i/>
        <sz val="9"/>
        <color rgb="FF595959"/>
        <rFont val="Arial"/>
        <family val="2"/>
      </rPr>
      <t>)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</si>
  <si>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</si>
  <si>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9"/>
        <color theme="1"/>
        <rFont val="Noto Sans CJK SC"/>
      </rPr>
      <t>ダイナミック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の要件整理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</si>
  <si>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で文献翻訳・要件抽出を自動化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</si>
  <si>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</si>
  <si>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9"/>
        <color theme="1"/>
        <rFont val="Noto Sans CJK SC"/>
      </rPr>
      <t>ダイナミック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の要件整理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</si>
  <si>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で根拠資料の翻訳・要約、人間が解釈精査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</si>
  <si>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</si>
  <si>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で算定式・計算例の翻訳整理、人間が精査</t>
    </r>
  </si>
  <si>
    <r>
      <rPr>
        <b/>
        <sz val="11"/>
        <color theme="1"/>
        <rFont val="Arial"/>
        <family val="2"/>
      </rPr>
      <t xml:space="preserve">(1) </t>
    </r>
    <r>
      <rPr>
        <b/>
        <sz val="11"/>
        <color theme="1"/>
        <rFont val="Noto Sans CJK SC"/>
      </rPr>
      <t>政策及び制度調査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</si>
  <si>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で根拠資料の翻訳・要点抽出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</si>
  <si>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</si>
  <si>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9"/>
        <color theme="1"/>
        <rFont val="Noto Sans CJK SC"/>
      </rPr>
      <t>ダイナミック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の理論的枠組み</t>
    </r>
  </si>
  <si>
    <r>
      <rPr>
        <sz val="9"/>
        <color theme="1"/>
        <rFont val="Noto Sans CJK SC"/>
      </rPr>
      <t>動的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（時間軸評価）導入の基本概念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</si>
  <si>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</si>
  <si>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</si>
  <si>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9"/>
        <color theme="1"/>
        <rFont val="Noto Sans CJK SC"/>
      </rPr>
      <t>ダイナミック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の理論的枠組み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</si>
  <si>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</si>
  <si>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</si>
  <si>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9"/>
        <color theme="1"/>
        <rFont val="Noto Sans CJK SC"/>
      </rPr>
      <t>ダイナミック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の理論的枠組み</t>
    </r>
  </si>
  <si>
    <r>
      <rPr>
        <sz val="9"/>
        <color theme="1"/>
        <rFont val="Noto Sans CJK SC"/>
      </rPr>
      <t>従来型静的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（</t>
    </r>
    <r>
      <rPr>
        <sz val="9"/>
        <color theme="1"/>
        <rFont val="Arial"/>
        <family val="2"/>
      </rPr>
      <t>GWP100</t>
    </r>
    <r>
      <rPr>
        <sz val="9"/>
        <color theme="1"/>
        <rFont val="Noto Sans CJK SC"/>
      </rPr>
      <t>）との差異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</si>
  <si>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</si>
  <si>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i/>
        <sz val="9"/>
        <color rgb="FF595959"/>
        <rFont val="Noto Sans CJK SC"/>
      </rPr>
      <t>比較表を</t>
    </r>
    <r>
      <rPr>
        <i/>
        <sz val="9"/>
        <color rgb="FF595959"/>
        <rFont val="Arial"/>
        <family val="2"/>
      </rPr>
      <t>AI</t>
    </r>
    <r>
      <rPr>
        <i/>
        <sz val="9"/>
        <color rgb="FF595959"/>
        <rFont val="Noto Sans CJK SC"/>
      </rPr>
      <t>で初稿生成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</si>
  <si>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</si>
  <si>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</si>
  <si>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b/>
        <sz val="11"/>
        <color theme="1"/>
        <rFont val="Arial"/>
        <family val="2"/>
      </rPr>
      <t xml:space="preserve">(2) </t>
    </r>
    <r>
      <rPr>
        <b/>
        <sz val="11"/>
        <color theme="1"/>
        <rFont val="Noto Sans CJK SC"/>
      </rPr>
      <t>技術及び手法の調査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</si>
  <si>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</si>
  <si>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</si>
  <si>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9"/>
        <color theme="1"/>
        <rFont val="Noto Sans CJK SC"/>
      </rPr>
      <t>建材の</t>
    </r>
    <r>
      <rPr>
        <sz val="9"/>
        <color theme="1"/>
        <rFont val="Arial"/>
        <family val="2"/>
      </rPr>
      <t>CO₂</t>
    </r>
    <r>
      <rPr>
        <sz val="9"/>
        <color theme="1"/>
        <rFont val="Noto Sans CJK SC"/>
      </rPr>
      <t>等排出量原単位データベースの構造分析</t>
    </r>
  </si>
  <si>
    <r>
      <rPr>
        <sz val="9"/>
        <color theme="1"/>
        <rFont val="Arial"/>
        <family val="2"/>
      </rPr>
      <t>INIES</t>
    </r>
    <r>
      <rPr>
        <sz val="9"/>
        <color theme="1"/>
        <rFont val="Noto Sans CJK SC"/>
      </rPr>
      <t>におけるデータ格納状況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</si>
  <si>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</t>
    </r>
    <r>
      <rPr>
        <sz val="9"/>
        <color theme="1"/>
        <rFont val="Arial"/>
        <family val="2"/>
      </rPr>
      <t>DB</t>
    </r>
    <r>
      <rPr>
        <sz val="9"/>
        <color theme="1"/>
        <rFont val="Noto Sans CJK SC"/>
      </rPr>
      <t>スキーマ・データ構造を自動分析</t>
    </r>
  </si>
  <si>
    <r>
      <rPr>
        <i/>
        <sz val="9"/>
        <color rgb="FF595959"/>
        <rFont val="Arial"/>
        <family val="2"/>
      </rPr>
      <t>DB</t>
    </r>
    <r>
      <rPr>
        <i/>
        <sz val="9"/>
        <color rgb="FF595959"/>
        <rFont val="Noto Sans CJK SC"/>
      </rPr>
      <t>スキーマ分析は</t>
    </r>
    <r>
      <rPr>
        <i/>
        <sz val="9"/>
        <color rgb="FF595959"/>
        <rFont val="Arial"/>
        <family val="2"/>
      </rPr>
      <t>AI</t>
    </r>
    <r>
      <rPr>
        <i/>
        <sz val="9"/>
        <color rgb="FF595959"/>
        <rFont val="Noto Sans CJK SC"/>
      </rPr>
      <t>が特に得意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</si>
  <si>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</si>
  <si>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9"/>
        <color theme="1"/>
        <rFont val="Noto Sans CJK SC"/>
      </rPr>
      <t>建材の</t>
    </r>
    <r>
      <rPr>
        <sz val="9"/>
        <color theme="1"/>
        <rFont val="Arial"/>
        <family val="2"/>
      </rPr>
      <t>CO₂</t>
    </r>
    <r>
      <rPr>
        <sz val="9"/>
        <color theme="1"/>
        <rFont val="Noto Sans CJK SC"/>
      </rPr>
      <t>等排出量原単位データベースの構造分析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</si>
  <si>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でパラメータ仕様の翻訳・整理を自動化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</si>
  <si>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</si>
  <si>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で概念整理・比較表の初稿生成、人間が専門的精査・修正</t>
    </r>
  </si>
  <si>
    <r>
      <rPr>
        <b/>
        <sz val="11"/>
        <color theme="1"/>
        <rFont val="Arial"/>
        <family val="2"/>
      </rPr>
      <t xml:space="preserve">(3) </t>
    </r>
    <r>
      <rPr>
        <b/>
        <sz val="11"/>
        <color theme="1"/>
        <rFont val="Noto Sans CJK SC"/>
      </rPr>
      <t>制度を支える情報基盤の構造把握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</si>
  <si>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でシナリオ定義の翻訳・整理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</si>
  <si>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</si>
  <si>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9"/>
        <color theme="1"/>
        <rFont val="Noto Sans CJK SC"/>
      </rPr>
      <t>建築及び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関係者へのヒアリング</t>
    </r>
  </si>
  <si>
    <r>
      <rPr>
        <sz val="9"/>
        <color theme="1"/>
        <rFont val="Noto Sans CJK SC"/>
      </rPr>
      <t>ダイナミック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導入のメリット・デメリット【メイン</t>
    </r>
    <r>
      <rPr>
        <sz val="9"/>
        <color theme="1"/>
        <rFont val="Arial"/>
        <family val="2"/>
      </rPr>
      <t>:Web</t>
    </r>
    <r>
      <rPr>
        <sz val="9"/>
        <color theme="1"/>
        <rFont val="Noto Sans CJK SC"/>
      </rPr>
      <t>面談】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</si>
  <si>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は質問票作成・議事録整理・要約のみ。実施は人間</t>
    </r>
  </si>
  <si>
    <r>
      <rPr>
        <i/>
        <sz val="9"/>
        <color rgb="FF595959"/>
        <rFont val="Noto Sans CJK SC"/>
      </rPr>
      <t>メイン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 xml:space="preserve">機関 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 </t>
    </r>
    <r>
      <rPr>
        <i/>
        <sz val="9"/>
        <color rgb="FF595959"/>
        <rFont val="Arial"/>
        <family val="2"/>
      </rPr>
      <t xml:space="preserve">/ </t>
    </r>
    <r>
      <rPr>
        <i/>
        <sz val="9"/>
        <color rgb="FF595959"/>
        <rFont val="Noto Sans CJK SC"/>
      </rPr>
      <t>通訳費</t>
    </r>
    <r>
      <rPr>
        <i/>
        <sz val="9"/>
        <color rgb="FF595959"/>
        <rFont val="Arial"/>
        <family val="2"/>
      </rPr>
      <t>20,000</t>
    </r>
    <r>
      <rPr>
        <i/>
        <sz val="9"/>
        <color rgb="FF595959"/>
        <rFont val="Noto Sans CJK SC"/>
      </rPr>
      <t>円</t>
    </r>
    <r>
      <rPr>
        <i/>
        <sz val="9"/>
        <color rgb="FF595959"/>
        <rFont val="Arial"/>
        <family val="2"/>
      </rPr>
      <t>+</t>
    </r>
    <r>
      <rPr>
        <i/>
        <sz val="9"/>
        <color rgb="FF595959"/>
        <rFont val="Noto Sans CJK SC"/>
      </rPr>
      <t>謝礼</t>
    </r>
    <r>
      <rPr>
        <i/>
        <sz val="9"/>
        <color rgb="FF595959"/>
        <rFont val="Arial"/>
        <family val="2"/>
      </rPr>
      <t>10,000</t>
    </r>
    <r>
      <rPr>
        <i/>
        <sz val="9"/>
        <color rgb="FF595959"/>
        <rFont val="Noto Sans CJK SC"/>
      </rPr>
      <t>円</t>
    </r>
  </si>
  <si>
    <r>
      <rPr>
        <b/>
        <sz val="11"/>
        <color theme="1"/>
        <rFont val="Arial"/>
        <family val="2"/>
      </rPr>
      <t xml:space="preserve">(4) </t>
    </r>
    <r>
      <rPr>
        <b/>
        <sz val="11"/>
        <color theme="1"/>
        <rFont val="Noto Sans CJK SC"/>
      </rPr>
      <t>関係機関及び専門家調査</t>
    </r>
  </si>
  <si>
    <r>
      <rPr>
        <sz val="9"/>
        <color theme="1"/>
        <rFont val="Arial"/>
        <family val="2"/>
      </rPr>
      <t>EPD</t>
    </r>
    <r>
      <rPr>
        <sz val="9"/>
        <color theme="1"/>
        <rFont val="Noto Sans CJK SC"/>
      </rPr>
      <t>プログラム運営機関へのヒアリング</t>
    </r>
  </si>
  <si>
    <r>
      <rPr>
        <sz val="9"/>
        <color theme="1"/>
        <rFont val="Arial"/>
        <family val="2"/>
      </rPr>
      <t>EPD</t>
    </r>
    <r>
      <rPr>
        <sz val="9"/>
        <color theme="1"/>
        <rFont val="Noto Sans CJK SC"/>
      </rPr>
      <t>（建材及び建築物）のダイナミック</t>
    </r>
    <r>
      <rPr>
        <sz val="9"/>
        <color theme="1"/>
        <rFont val="Arial"/>
        <family val="2"/>
      </rPr>
      <t>LCA</t>
    </r>
    <r>
      <rPr>
        <sz val="9"/>
        <color theme="1"/>
        <rFont val="Noto Sans CJK SC"/>
      </rPr>
      <t>対応状況【メイン</t>
    </r>
    <r>
      <rPr>
        <sz val="9"/>
        <color theme="1"/>
        <rFont val="Arial"/>
        <family val="2"/>
      </rPr>
      <t>:Web</t>
    </r>
    <r>
      <rPr>
        <sz val="9"/>
        <color theme="1"/>
        <rFont val="Noto Sans CJK SC"/>
      </rPr>
      <t>面談】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</si>
  <si>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は質問票作成・議事録整理・要約のみ。実施は人間</t>
    </r>
  </si>
  <si>
    <r>
      <rPr>
        <i/>
        <sz val="9"/>
        <color rgb="FF595959"/>
        <rFont val="Noto Sans CJK SC"/>
      </rPr>
      <t>メイン</t>
    </r>
    <r>
      <rPr>
        <i/>
        <sz val="9"/>
        <color rgb="FF595959"/>
        <rFont val="Arial"/>
        <family val="2"/>
      </rPr>
      <t>1</t>
    </r>
    <r>
      <rPr>
        <i/>
        <sz val="9"/>
        <color rgb="FF595959"/>
        <rFont val="Noto Sans CJK SC"/>
      </rPr>
      <t xml:space="preserve">機関 </t>
    </r>
    <r>
      <rPr>
        <i/>
        <sz val="9"/>
        <color rgb="FF595959"/>
        <rFont val="Arial"/>
        <family val="2"/>
      </rPr>
      <t>Web</t>
    </r>
    <r>
      <rPr>
        <i/>
        <sz val="9"/>
        <color rgb="FF595959"/>
        <rFont val="Noto Sans CJK SC"/>
      </rPr>
      <t xml:space="preserve">面談 </t>
    </r>
    <r>
      <rPr>
        <i/>
        <sz val="9"/>
        <color rgb="FF595959"/>
        <rFont val="Arial"/>
        <family val="2"/>
      </rPr>
      <t xml:space="preserve">/ </t>
    </r>
    <r>
      <rPr>
        <i/>
        <sz val="9"/>
        <color rgb="FF595959"/>
        <rFont val="Noto Sans CJK SC"/>
      </rPr>
      <t>通訳費</t>
    </r>
    <r>
      <rPr>
        <i/>
        <sz val="9"/>
        <color rgb="FF595959"/>
        <rFont val="Arial"/>
        <family val="2"/>
      </rPr>
      <t>20,000</t>
    </r>
    <r>
      <rPr>
        <i/>
        <sz val="9"/>
        <color rgb="FF595959"/>
        <rFont val="Noto Sans CJK SC"/>
      </rPr>
      <t>円</t>
    </r>
    <r>
      <rPr>
        <i/>
        <sz val="9"/>
        <color rgb="FF595959"/>
        <rFont val="Arial"/>
        <family val="2"/>
      </rPr>
      <t>+</t>
    </r>
    <r>
      <rPr>
        <i/>
        <sz val="9"/>
        <color rgb="FF595959"/>
        <rFont val="Noto Sans CJK SC"/>
      </rPr>
      <t>謝礼</t>
    </r>
    <r>
      <rPr>
        <i/>
        <sz val="9"/>
        <color rgb="FF595959"/>
        <rFont val="Arial"/>
        <family val="2"/>
      </rPr>
      <t>10,000</t>
    </r>
    <r>
      <rPr>
        <i/>
        <sz val="9"/>
        <color rgb="FF595959"/>
        <rFont val="Noto Sans CJK SC"/>
      </rPr>
      <t>円</t>
    </r>
  </si>
  <si>
    <r>
      <rPr>
        <b/>
        <sz val="11"/>
        <color theme="1"/>
        <rFont val="Noto Sans CJK SC"/>
      </rPr>
      <t xml:space="preserve">横断業務 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統合・</t>
    </r>
    <r>
      <rPr>
        <b/>
        <sz val="11"/>
        <color theme="1"/>
        <rFont val="Arial"/>
        <family val="2"/>
      </rPr>
      <t>PMO)</t>
    </r>
  </si>
  <si>
    <t>プロジェクトマネジメント・全体統合・パワポ報告書作成</t>
  </si>
  <si>
    <r>
      <rPr>
        <sz val="9"/>
        <color theme="1"/>
        <rFont val="Noto Sans CJK SC"/>
      </rPr>
      <t>キックオフ、定例</t>
    </r>
    <r>
      <rPr>
        <sz val="9"/>
        <color theme="1"/>
        <rFont val="Arial"/>
        <family val="2"/>
      </rPr>
      <t>MTG</t>
    </r>
    <r>
      <rPr>
        <sz val="9"/>
        <color theme="1"/>
        <rFont val="Noto Sans CJK SC"/>
      </rPr>
      <t>、進捗管理、パワポ報告書作成・納品</t>
    </r>
  </si>
  <si>
    <r>
      <rPr>
        <sz val="9"/>
        <color theme="1"/>
        <rFont val="Arial"/>
        <family val="2"/>
      </rPr>
      <t>AI</t>
    </r>
    <r>
      <rPr>
        <sz val="9"/>
        <color theme="1"/>
        <rFont val="Noto Sans CJK SC"/>
      </rPr>
      <t>でパワポ初稿生成、人間が編集確認</t>
    </r>
  </si>
  <si>
    <t>スコープ縮小に伴い圧縮。パワポ形式の納品物</t>
  </si>
  <si>
    <r>
      <rPr>
        <b/>
        <sz val="11"/>
        <color theme="1"/>
        <rFont val="Arial"/>
        <family val="2"/>
      </rPr>
      <t>AI</t>
    </r>
    <r>
      <rPr>
        <b/>
        <sz val="11"/>
        <color theme="1"/>
        <rFont val="Noto Sans CJK SC"/>
      </rPr>
      <t>利用ツール費用</t>
    </r>
  </si>
  <si>
    <r>
      <rPr>
        <sz val="9"/>
        <color theme="1"/>
        <rFont val="Arial"/>
        <family val="2"/>
      </rPr>
      <t>Claude Pro/ChatGPT Plus/DeepL Pro</t>
    </r>
    <r>
      <rPr>
        <sz val="9"/>
        <color theme="1"/>
        <rFont val="Noto Sans CJK SC"/>
      </rPr>
      <t xml:space="preserve">等 </t>
    </r>
    <r>
      <rPr>
        <sz val="9"/>
        <color theme="1"/>
        <rFont val="Arial"/>
        <family val="2"/>
      </rPr>
      <t>6</t>
    </r>
    <r>
      <rPr>
        <sz val="9"/>
        <color theme="1"/>
        <rFont val="Noto Sans CJK SC"/>
      </rPr>
      <t>ヶ月分</t>
    </r>
  </si>
  <si>
    <r>
      <rPr>
        <i/>
        <sz val="9"/>
        <color rgb="FF595959"/>
        <rFont val="Arial"/>
        <family val="2"/>
      </rPr>
      <t>AI/</t>
    </r>
    <r>
      <rPr>
        <i/>
        <sz val="9"/>
        <color rgb="FF595959"/>
        <rFont val="Noto Sans CJK SC"/>
      </rPr>
      <t xml:space="preserve">翻訳ツールサブスク </t>
    </r>
    <r>
      <rPr>
        <i/>
        <sz val="9"/>
        <color rgb="FF595959"/>
        <rFont val="Arial"/>
        <family val="2"/>
      </rPr>
      <t>6</t>
    </r>
    <r>
      <rPr>
        <i/>
        <sz val="9"/>
        <color rgb="FF595959"/>
        <rFont val="Noto Sans CJK SC"/>
      </rPr>
      <t>ヶ月分</t>
    </r>
  </si>
  <si>
    <t>【予算チェック】</t>
  </si>
  <si>
    <r>
      <rPr>
        <sz val="11"/>
        <color theme="1"/>
        <rFont val="Calibri"/>
        <family val="2"/>
      </rPr>
      <t>5</t>
    </r>
    <r>
      <rPr>
        <sz val="11"/>
        <color theme="1"/>
        <rFont val="Noto Sans CJK SC"/>
      </rPr>
      <t>月〜</t>
    </r>
    <r>
      <rPr>
        <sz val="11"/>
        <color theme="1"/>
        <rFont val="Calibri"/>
        <family val="2"/>
      </rPr>
      <t>6</t>
    </r>
    <r>
      <rPr>
        <sz val="11"/>
        <color theme="1"/>
        <rFont val="Noto Sans CJK SC"/>
      </rPr>
      <t xml:space="preserve">月 </t>
    </r>
    <r>
      <rPr>
        <sz val="11"/>
        <color theme="1"/>
        <rFont val="Calibri"/>
        <family val="2"/>
      </rPr>
      <t>(9</t>
    </r>
    <r>
      <rPr>
        <sz val="11"/>
        <color theme="1"/>
        <rFont val="Noto Sans CJK SC"/>
      </rPr>
      <t xml:space="preserve">週 </t>
    </r>
    <r>
      <rPr>
        <sz val="11"/>
        <color theme="1"/>
        <rFont val="Calibri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Calibri"/>
        <family val="2"/>
      </rPr>
      <t>1.5</t>
    </r>
    <r>
      <rPr>
        <sz val="11"/>
        <color theme="1"/>
        <rFont val="Noto Sans CJK SC"/>
      </rPr>
      <t>日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</si>
  <si>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7</t>
    </r>
    <r>
      <rPr>
        <sz val="11"/>
        <color theme="1"/>
        <rFont val="Noto Sans CJK SC"/>
      </rPr>
      <t>月〜</t>
    </r>
    <r>
      <rPr>
        <sz val="11"/>
        <color theme="1"/>
        <rFont val="Calibri"/>
        <family val="2"/>
      </rPr>
      <t>8</t>
    </r>
    <r>
      <rPr>
        <sz val="11"/>
        <color theme="1"/>
        <rFont val="Noto Sans CJK SC"/>
      </rPr>
      <t xml:space="preserve">月 </t>
    </r>
    <r>
      <rPr>
        <sz val="11"/>
        <color theme="1"/>
        <rFont val="Calibri"/>
        <family val="2"/>
      </rPr>
      <t>(9</t>
    </r>
    <r>
      <rPr>
        <sz val="11"/>
        <color theme="1"/>
        <rFont val="Noto Sans CJK SC"/>
      </rPr>
      <t xml:space="preserve">週 </t>
    </r>
    <r>
      <rPr>
        <sz val="11"/>
        <color theme="1"/>
        <rFont val="Calibri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Calibri"/>
        <family val="2"/>
      </rPr>
      <t>2.25</t>
    </r>
    <r>
      <rPr>
        <sz val="11"/>
        <color theme="1"/>
        <rFont val="Noto Sans CJK SC"/>
      </rPr>
      <t>日 ★授業減で増加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</si>
  <si>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Calibri"/>
        <family val="2"/>
      </rPr>
      <t>9</t>
    </r>
    <r>
      <rPr>
        <sz val="11"/>
        <color theme="1"/>
        <rFont val="Noto Sans CJK SC"/>
      </rPr>
      <t>月〜</t>
    </r>
    <r>
      <rPr>
        <sz val="11"/>
        <color theme="1"/>
        <rFont val="Calibri"/>
        <family val="2"/>
      </rPr>
      <t>10</t>
    </r>
    <r>
      <rPr>
        <sz val="11"/>
        <color theme="1"/>
        <rFont val="Noto Sans CJK SC"/>
      </rPr>
      <t xml:space="preserve">月中旬 </t>
    </r>
    <r>
      <rPr>
        <sz val="11"/>
        <color theme="1"/>
        <rFont val="Calibri"/>
        <family val="2"/>
      </rPr>
      <t>(6</t>
    </r>
    <r>
      <rPr>
        <sz val="11"/>
        <color theme="1"/>
        <rFont val="Noto Sans CJK SC"/>
      </rPr>
      <t xml:space="preserve">週 </t>
    </r>
    <r>
      <rPr>
        <sz val="11"/>
        <color theme="1"/>
        <rFont val="Calibri"/>
        <family val="2"/>
      </rPr>
      <t xml:space="preserve">× </t>
    </r>
    <r>
      <rPr>
        <sz val="11"/>
        <color theme="1"/>
        <rFont val="Noto Sans CJK SC"/>
      </rPr>
      <t>週</t>
    </r>
    <r>
      <rPr>
        <sz val="11"/>
        <color theme="1"/>
        <rFont val="Calibri"/>
        <family val="2"/>
      </rPr>
      <t>1.5</t>
    </r>
    <r>
      <rPr>
        <sz val="11"/>
        <color theme="1"/>
        <rFont val="Noto Sans CJK SC"/>
      </rPr>
      <t>日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</si>
  <si>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Noto Sans CJK SC"/>
      </rPr>
      <t xml:space="preserve">必要工数 </t>
    </r>
    <r>
      <rPr>
        <b/>
        <sz val="11"/>
        <color theme="1"/>
        <rFont val="Arial"/>
        <family val="2"/>
      </rPr>
      <t>(AI</t>
    </r>
    <r>
      <rPr>
        <b/>
        <sz val="11"/>
        <color theme="1"/>
        <rFont val="Noto Sans CJK SC"/>
      </rPr>
      <t>活用後</t>
    </r>
    <r>
      <rPr>
        <b/>
        <sz val="11"/>
        <color theme="1"/>
        <rFont val="Arial"/>
        <family val="2"/>
      </rPr>
      <t>)</t>
    </r>
  </si>
  <si>
    <t>【スコープ縮小の考え方】</t>
  </si>
  <si>
    <r>
      <rPr>
        <b/>
        <sz val="10"/>
        <color theme="1"/>
        <rFont val="Noto Sans CJK SC"/>
      </rPr>
      <t>■ 採用基準</t>
    </r>
    <r>
      <rPr>
        <b/>
        <sz val="10"/>
        <color theme="1"/>
        <rFont val="Arial"/>
        <family val="2"/>
      </rPr>
      <t xml:space="preserve">: </t>
    </r>
    <r>
      <rPr>
        <b/>
        <sz val="10"/>
        <color theme="1"/>
        <rFont val="Noto Sans CJK SC"/>
      </rPr>
      <t>制度の根幹に関わる「重要度</t>
    </r>
    <r>
      <rPr>
        <b/>
        <sz val="10"/>
        <color theme="1"/>
        <rFont val="Arial"/>
        <family val="2"/>
      </rPr>
      <t>5</t>
    </r>
    <r>
      <rPr>
        <b/>
        <sz val="10"/>
        <color theme="1"/>
        <rFont val="Noto Sans CJK SC"/>
      </rPr>
      <t xml:space="preserve">」項目のみを対象 </t>
    </r>
    <r>
      <rPr>
        <b/>
        <sz val="10"/>
        <color theme="1"/>
        <rFont val="Arial"/>
        <family val="2"/>
      </rPr>
      <t>(</t>
    </r>
    <r>
      <rPr>
        <b/>
        <sz val="10"/>
        <color theme="1"/>
        <rFont val="Noto Sans CJK SC"/>
      </rPr>
      <t>全</t>
    </r>
    <r>
      <rPr>
        <b/>
        <sz val="10"/>
        <color theme="1"/>
        <rFont val="Arial"/>
        <family val="2"/>
      </rPr>
      <t>44</t>
    </r>
    <r>
      <rPr>
        <b/>
        <sz val="10"/>
        <color theme="1"/>
        <rFont val="Noto Sans CJK SC"/>
      </rPr>
      <t>項目→</t>
    </r>
    <r>
      <rPr>
        <b/>
        <sz val="10"/>
        <color theme="1"/>
        <rFont val="Arial"/>
        <family val="2"/>
      </rPr>
      <t>17</t>
    </r>
    <r>
      <rPr>
        <b/>
        <sz val="10"/>
        <color theme="1"/>
        <rFont val="Noto Sans CJK SC"/>
      </rPr>
      <t>項目</t>
    </r>
    <r>
      <rPr>
        <b/>
        <sz val="10"/>
        <color theme="1"/>
        <rFont val="Arial"/>
        <family val="2"/>
      </rPr>
      <t>)</t>
    </r>
  </si>
  <si>
    <r>
      <rPr>
        <b/>
        <sz val="10"/>
        <color theme="1"/>
        <rFont val="Noto Sans CJK SC"/>
      </rPr>
      <t>■ ブロック</t>
    </r>
    <r>
      <rPr>
        <b/>
        <sz val="10"/>
        <color theme="1"/>
        <rFont val="Arial"/>
        <family val="2"/>
      </rPr>
      <t xml:space="preserve">(1) </t>
    </r>
    <r>
      <rPr>
        <b/>
        <sz val="10"/>
        <color theme="1"/>
        <rFont val="Noto Sans CJK SC"/>
      </rPr>
      <t>政策・制度調査</t>
    </r>
    <r>
      <rPr>
        <b/>
        <sz val="10"/>
        <color theme="1"/>
        <rFont val="Arial"/>
        <family val="2"/>
      </rPr>
      <t>: 14</t>
    </r>
    <r>
      <rPr>
        <b/>
        <sz val="10"/>
        <color theme="1"/>
        <rFont val="Noto Sans CJK SC"/>
      </rPr>
      <t xml:space="preserve">項目中 </t>
    </r>
    <r>
      <rPr>
        <b/>
        <sz val="10"/>
        <color theme="1"/>
        <rFont val="Arial"/>
        <family val="2"/>
      </rPr>
      <t>6</t>
    </r>
    <r>
      <rPr>
        <b/>
        <sz val="10"/>
        <color theme="1"/>
        <rFont val="Noto Sans CJK SC"/>
      </rPr>
      <t>項目を採用</t>
    </r>
  </si>
  <si>
    <r>
      <rPr>
        <sz val="10"/>
        <color theme="1"/>
        <rFont val="Arial"/>
        <family val="2"/>
      </rPr>
      <t xml:space="preserve">   → RE2020 LCA</t>
    </r>
    <r>
      <rPr>
        <sz val="10"/>
        <color theme="1"/>
        <rFont val="Noto Sans CJK SC"/>
      </rPr>
      <t>位置付け、評価方法、要件整理、貯蔵量算定、評価期間根拠など制度理解の核に絞る</t>
    </r>
  </si>
  <si>
    <r>
      <rPr>
        <sz val="10"/>
        <color theme="1"/>
        <rFont val="Noto Sans CJK SC"/>
      </rPr>
      <t xml:space="preserve">   → 重要度</t>
    </r>
    <r>
      <rPr>
        <sz val="10"/>
        <color theme="1"/>
        <rFont val="Arial"/>
        <family val="2"/>
      </rPr>
      <t>4</t>
    </r>
    <r>
      <rPr>
        <sz val="10"/>
        <color theme="1"/>
        <rFont val="Noto Sans CJK SC"/>
      </rPr>
      <t>以下の制度導入背景・国家戦略・</t>
    </r>
    <r>
      <rPr>
        <sz val="10"/>
        <color theme="1"/>
        <rFont val="Arial"/>
        <family val="2"/>
      </rPr>
      <t>Level(s)</t>
    </r>
    <r>
      <rPr>
        <sz val="10"/>
        <color theme="1"/>
        <rFont val="Noto Sans CJK SC"/>
      </rPr>
      <t>・サーキュラーエコノミー等は除外</t>
    </r>
  </si>
  <si>
    <r>
      <rPr>
        <b/>
        <sz val="10"/>
        <color theme="1"/>
        <rFont val="Noto Sans CJK SC"/>
      </rPr>
      <t>■ ブロック</t>
    </r>
    <r>
      <rPr>
        <b/>
        <sz val="10"/>
        <color theme="1"/>
        <rFont val="Arial"/>
        <family val="2"/>
      </rPr>
      <t xml:space="preserve">(2) </t>
    </r>
    <r>
      <rPr>
        <b/>
        <sz val="10"/>
        <color theme="1"/>
        <rFont val="Noto Sans CJK SC"/>
      </rPr>
      <t>技術・手法調査</t>
    </r>
    <r>
      <rPr>
        <b/>
        <sz val="10"/>
        <color theme="1"/>
        <rFont val="Arial"/>
        <family val="2"/>
      </rPr>
      <t>: 9</t>
    </r>
    <r>
      <rPr>
        <b/>
        <sz val="10"/>
        <color theme="1"/>
        <rFont val="Noto Sans CJK SC"/>
      </rPr>
      <t xml:space="preserve">項目中 </t>
    </r>
    <r>
      <rPr>
        <b/>
        <sz val="10"/>
        <color theme="1"/>
        <rFont val="Arial"/>
        <family val="2"/>
      </rPr>
      <t>5</t>
    </r>
    <r>
      <rPr>
        <b/>
        <sz val="10"/>
        <color theme="1"/>
        <rFont val="Noto Sans CJK SC"/>
      </rPr>
      <t>項目を採用</t>
    </r>
  </si>
  <si>
    <r>
      <rPr>
        <sz val="10"/>
        <color theme="1"/>
        <rFont val="Noto Sans CJK SC"/>
      </rPr>
      <t xml:space="preserve">   → 動的</t>
    </r>
    <r>
      <rPr>
        <sz val="10"/>
        <color theme="1"/>
        <rFont val="Arial"/>
        <family val="2"/>
      </rPr>
      <t>LCA</t>
    </r>
    <r>
      <rPr>
        <sz val="10"/>
        <color theme="1"/>
        <rFont val="Noto Sans CJK SC"/>
      </rPr>
      <t>の理論的枠組み</t>
    </r>
    <r>
      <rPr>
        <sz val="10"/>
        <color theme="1"/>
        <rFont val="Arial"/>
        <family val="2"/>
      </rPr>
      <t>(</t>
    </r>
    <r>
      <rPr>
        <sz val="10"/>
        <color theme="1"/>
        <rFont val="Noto Sans CJK SC"/>
      </rPr>
      <t>基本概念、評価期間根拠、</t>
    </r>
    <r>
      <rPr>
        <sz val="10"/>
        <color theme="1"/>
        <rFont val="Arial"/>
        <family val="2"/>
      </rPr>
      <t>GWP100</t>
    </r>
    <r>
      <rPr>
        <sz val="10"/>
        <color theme="1"/>
        <rFont val="Noto Sans CJK SC"/>
      </rPr>
      <t>差異</t>
    </r>
    <r>
      <rPr>
        <sz val="10"/>
        <color theme="1"/>
        <rFont val="Arial"/>
        <family val="2"/>
      </rPr>
      <t>)</t>
    </r>
    <r>
      <rPr>
        <sz val="10"/>
        <color theme="1"/>
        <rFont val="Noto Sans CJK SC"/>
      </rPr>
      <t>、評価指標の算定方法を採用</t>
    </r>
  </si>
  <si>
    <t xml:space="preserve">   → 放射強制力、算定環境、表示方法等は除外</t>
  </si>
  <si>
    <r>
      <rPr>
        <b/>
        <sz val="10"/>
        <color theme="1"/>
        <rFont val="Noto Sans CJK SC"/>
      </rPr>
      <t>■ ブロック</t>
    </r>
    <r>
      <rPr>
        <b/>
        <sz val="10"/>
        <color theme="1"/>
        <rFont val="Arial"/>
        <family val="2"/>
      </rPr>
      <t xml:space="preserve">(3) </t>
    </r>
    <r>
      <rPr>
        <b/>
        <sz val="10"/>
        <color theme="1"/>
        <rFont val="Noto Sans CJK SC"/>
      </rPr>
      <t>情報基盤調査</t>
    </r>
    <r>
      <rPr>
        <b/>
        <sz val="10"/>
        <color theme="1"/>
        <rFont val="Arial"/>
        <family val="2"/>
      </rPr>
      <t>: 10</t>
    </r>
    <r>
      <rPr>
        <b/>
        <sz val="10"/>
        <color theme="1"/>
        <rFont val="Noto Sans CJK SC"/>
      </rPr>
      <t xml:space="preserve">項目中 </t>
    </r>
    <r>
      <rPr>
        <b/>
        <sz val="10"/>
        <color theme="1"/>
        <rFont val="Arial"/>
        <family val="2"/>
      </rPr>
      <t>4</t>
    </r>
    <r>
      <rPr>
        <b/>
        <sz val="10"/>
        <color theme="1"/>
        <rFont val="Noto Sans CJK SC"/>
      </rPr>
      <t>項目を採用</t>
    </r>
  </si>
  <si>
    <r>
      <rPr>
        <sz val="10"/>
        <color theme="1"/>
        <rFont val="Arial"/>
        <family val="2"/>
      </rPr>
      <t xml:space="preserve">   → INIES</t>
    </r>
    <r>
      <rPr>
        <sz val="10"/>
        <color theme="1"/>
        <rFont val="Noto Sans CJK SC"/>
      </rPr>
      <t>格納状況、動的パラメータ、木材炭素貯蔵評価、エンドオブライフモデル化を採用</t>
    </r>
  </si>
  <si>
    <r>
      <rPr>
        <sz val="10"/>
        <color theme="1"/>
        <rFont val="Noto Sans CJK SC"/>
      </rPr>
      <t xml:space="preserve">   → 静的</t>
    </r>
    <r>
      <rPr>
        <sz val="10"/>
        <color theme="1"/>
        <rFont val="Arial"/>
        <family val="2"/>
      </rPr>
      <t>LCA</t>
    </r>
    <r>
      <rPr>
        <sz val="10"/>
        <color theme="1"/>
        <rFont val="Noto Sans CJK SC"/>
      </rPr>
      <t>との構造差異、データ更新体制、</t>
    </r>
    <r>
      <rPr>
        <sz val="10"/>
        <color theme="1"/>
        <rFont val="Arial"/>
        <family val="2"/>
      </rPr>
      <t>A-D</t>
    </r>
    <r>
      <rPr>
        <sz val="10"/>
        <color theme="1"/>
        <rFont val="Noto Sans CJK SC"/>
      </rPr>
      <t>モジュール、表示方式等は除外</t>
    </r>
  </si>
  <si>
    <r>
      <rPr>
        <b/>
        <sz val="10"/>
        <color theme="1"/>
        <rFont val="Noto Sans CJK SC"/>
      </rPr>
      <t>■ ブロック</t>
    </r>
    <r>
      <rPr>
        <b/>
        <sz val="10"/>
        <color theme="1"/>
        <rFont val="Arial"/>
        <family val="2"/>
      </rPr>
      <t xml:space="preserve">(4) </t>
    </r>
    <r>
      <rPr>
        <b/>
        <sz val="10"/>
        <color theme="1"/>
        <rFont val="Noto Sans CJK SC"/>
      </rPr>
      <t>専門家ヒアリング</t>
    </r>
    <r>
      <rPr>
        <b/>
        <sz val="10"/>
        <color theme="1"/>
        <rFont val="Arial"/>
        <family val="2"/>
      </rPr>
      <t>: 11</t>
    </r>
    <r>
      <rPr>
        <b/>
        <sz val="10"/>
        <color theme="1"/>
        <rFont val="Noto Sans CJK SC"/>
      </rPr>
      <t xml:space="preserve">項目中 </t>
    </r>
    <r>
      <rPr>
        <b/>
        <sz val="10"/>
        <color theme="1"/>
        <rFont val="Arial"/>
        <family val="2"/>
      </rPr>
      <t>2</t>
    </r>
    <r>
      <rPr>
        <b/>
        <sz val="10"/>
        <color theme="1"/>
        <rFont val="Noto Sans CJK SC"/>
      </rPr>
      <t>項目を採用</t>
    </r>
  </si>
  <si>
    <r>
      <rPr>
        <sz val="10"/>
        <color theme="1"/>
        <rFont val="Noto Sans CJK SC"/>
      </rPr>
      <t xml:space="preserve">   → ①ア</t>
    </r>
    <r>
      <rPr>
        <sz val="10"/>
        <color theme="1"/>
        <rFont val="Arial"/>
        <family val="2"/>
      </rPr>
      <t>(LCA</t>
    </r>
    <r>
      <rPr>
        <sz val="10"/>
        <color theme="1"/>
        <rFont val="Noto Sans CJK SC"/>
      </rPr>
      <t>関係者</t>
    </r>
    <r>
      <rPr>
        <sz val="10"/>
        <color theme="1"/>
        <rFont val="Arial"/>
        <family val="2"/>
      </rPr>
      <t xml:space="preserve">) </t>
    </r>
    <r>
      <rPr>
        <sz val="10"/>
        <color theme="1"/>
        <rFont val="Noto Sans CJK SC"/>
      </rPr>
      <t>と ②ア</t>
    </r>
    <r>
      <rPr>
        <sz val="10"/>
        <color theme="1"/>
        <rFont val="Arial"/>
        <family val="2"/>
      </rPr>
      <t>(EPD</t>
    </r>
    <r>
      <rPr>
        <sz val="10"/>
        <color theme="1"/>
        <rFont val="Noto Sans CJK SC"/>
      </rPr>
      <t>運営機関</t>
    </r>
    <r>
      <rPr>
        <sz val="10"/>
        <color theme="1"/>
        <rFont val="Arial"/>
        <family val="2"/>
      </rPr>
      <t xml:space="preserve">) </t>
    </r>
    <r>
      <rPr>
        <sz val="10"/>
        <color theme="1"/>
        <rFont val="Noto Sans CJK SC"/>
      </rPr>
      <t>の重要度</t>
    </r>
    <r>
      <rPr>
        <sz val="10"/>
        <color theme="1"/>
        <rFont val="Arial"/>
        <family val="2"/>
      </rPr>
      <t>5</t>
    </r>
    <r>
      <rPr>
        <sz val="10"/>
        <color theme="1"/>
        <rFont val="Noto Sans CJK SC"/>
      </rPr>
      <t>メイン項目のみ</t>
    </r>
  </si>
  <si>
    <r>
      <rPr>
        <sz val="10"/>
        <color theme="1"/>
        <rFont val="Arial"/>
        <family val="2"/>
      </rPr>
      <t xml:space="preserve">   → ③(</t>
    </r>
    <r>
      <rPr>
        <sz val="10"/>
        <color theme="1"/>
        <rFont val="Noto Sans CJK SC"/>
      </rPr>
      <t>木材関係機関</t>
    </r>
    <r>
      <rPr>
        <sz val="10"/>
        <color theme="1"/>
        <rFont val="Arial"/>
        <family val="2"/>
      </rPr>
      <t>)</t>
    </r>
    <r>
      <rPr>
        <sz val="10"/>
        <color theme="1"/>
        <rFont val="Noto Sans CJK SC"/>
      </rPr>
      <t>は除外。重要度</t>
    </r>
    <r>
      <rPr>
        <sz val="10"/>
        <color theme="1"/>
        <rFont val="Arial"/>
        <family val="2"/>
      </rPr>
      <t>4</t>
    </r>
    <r>
      <rPr>
        <sz val="10"/>
        <color theme="1"/>
        <rFont val="Noto Sans CJK SC"/>
      </rPr>
      <t>以下のサブ項目も全て除外</t>
    </r>
  </si>
  <si>
    <r>
      <rPr>
        <b/>
        <sz val="10"/>
        <color theme="1"/>
        <rFont val="Noto Sans CJK SC"/>
      </rPr>
      <t>■ クライアント提案時の留意点</t>
    </r>
    <r>
      <rPr>
        <b/>
        <sz val="10"/>
        <color theme="1"/>
        <rFont val="Arial"/>
        <family val="2"/>
      </rPr>
      <t>:</t>
    </r>
  </si>
  <si>
    <r>
      <rPr>
        <sz val="10"/>
        <color theme="1"/>
        <rFont val="Noto Sans CJK SC"/>
      </rPr>
      <t xml:space="preserve">   ・除外項目は「補足調査」として、追加予算</t>
    </r>
    <r>
      <rPr>
        <sz val="10"/>
        <color theme="1"/>
        <rFont val="Arial"/>
        <family val="2"/>
      </rPr>
      <t>/</t>
    </r>
    <r>
      <rPr>
        <sz val="10"/>
        <color theme="1"/>
        <rFont val="Noto Sans CJK SC"/>
      </rPr>
      <t>期間で対応可能と提示</t>
    </r>
  </si>
  <si>
    <t xml:space="preserve">   ・本スコープでも制度の根幹的理解は確保されることを説明</t>
  </si>
  <si>
    <r>
      <rPr>
        <sz val="10"/>
        <color theme="1"/>
        <rFont val="Noto Sans CJK SC"/>
      </rPr>
      <t xml:space="preserve">   ・本スコープなら稼働量に約</t>
    </r>
    <r>
      <rPr>
        <sz val="10"/>
        <color theme="1"/>
        <rFont val="Arial"/>
        <family val="2"/>
      </rPr>
      <t>9</t>
    </r>
    <r>
      <rPr>
        <sz val="10"/>
        <color theme="1"/>
        <rFont val="Noto Sans CJK SC"/>
      </rPr>
      <t>人日の余裕あり、重要度</t>
    </r>
    <r>
      <rPr>
        <sz val="10"/>
        <color theme="1"/>
        <rFont val="Arial"/>
        <family val="2"/>
      </rPr>
      <t>4</t>
    </r>
    <r>
      <rPr>
        <sz val="10"/>
        <color theme="1"/>
        <rFont val="Noto Sans CJK SC"/>
      </rPr>
      <t>項目の一部追加も検討可能</t>
    </r>
  </si>
  <si>
    <r>
      <rPr>
        <sz val="10"/>
        <color theme="1"/>
        <rFont val="Noto Sans CJK SC"/>
      </rPr>
      <t xml:space="preserve">   ・週</t>
    </r>
    <r>
      <rPr>
        <sz val="10"/>
        <color theme="1"/>
        <rFont val="Arial"/>
        <family val="2"/>
      </rPr>
      <t>1.5</t>
    </r>
    <r>
      <rPr>
        <sz val="10"/>
        <color theme="1"/>
        <rFont val="Noto Sans CJK SC"/>
      </rPr>
      <t>日</t>
    </r>
    <r>
      <rPr>
        <sz val="10"/>
        <color theme="1"/>
        <rFont val="Arial"/>
        <family val="2"/>
      </rPr>
      <t>(5-6</t>
    </r>
    <r>
      <rPr>
        <sz val="10"/>
        <color theme="1"/>
        <rFont val="Noto Sans CJK SC"/>
      </rPr>
      <t>月</t>
    </r>
    <r>
      <rPr>
        <sz val="10"/>
        <color theme="1"/>
        <rFont val="Arial"/>
        <family val="2"/>
      </rPr>
      <t>,9-10</t>
    </r>
    <r>
      <rPr>
        <sz val="10"/>
        <color theme="1"/>
        <rFont val="Noto Sans CJK SC"/>
      </rPr>
      <t>月</t>
    </r>
    <r>
      <rPr>
        <sz val="10"/>
        <color theme="1"/>
        <rFont val="Arial"/>
        <family val="2"/>
      </rPr>
      <t>)/</t>
    </r>
    <r>
      <rPr>
        <sz val="10"/>
        <color theme="1"/>
        <rFont val="Noto Sans CJK SC"/>
      </rPr>
      <t>週</t>
    </r>
    <r>
      <rPr>
        <sz val="10"/>
        <color theme="1"/>
        <rFont val="Arial"/>
        <family val="2"/>
      </rPr>
      <t>2.25</t>
    </r>
    <r>
      <rPr>
        <sz val="10"/>
        <color theme="1"/>
        <rFont val="Noto Sans CJK SC"/>
      </rPr>
      <t>日</t>
    </r>
    <r>
      <rPr>
        <sz val="10"/>
        <color theme="1"/>
        <rFont val="Arial"/>
        <family val="2"/>
      </rPr>
      <t>(7-8</t>
    </r>
    <r>
      <rPr>
        <sz val="10"/>
        <color theme="1"/>
        <rFont val="Noto Sans CJK SC"/>
      </rPr>
      <t>月</t>
    </r>
    <r>
      <rPr>
        <sz val="10"/>
        <color theme="1"/>
        <rFont val="Arial"/>
        <family val="2"/>
      </rPr>
      <t>)</t>
    </r>
    <r>
      <rPr>
        <sz val="10"/>
        <color theme="1"/>
        <rFont val="Noto Sans CJK SC"/>
      </rPr>
      <t>の稼働制約が物理的な上限</t>
    </r>
  </si>
  <si>
    <r>
      <rPr>
        <b/>
        <sz val="11"/>
        <color theme="1"/>
        <rFont val="Noto Sans CJK SC"/>
      </rPr>
      <t xml:space="preserve">【フルスコープ </t>
    </r>
    <r>
      <rPr>
        <b/>
        <sz val="11"/>
        <color theme="1"/>
        <rFont val="Arial"/>
        <family val="2"/>
      </rPr>
      <t xml:space="preserve">vs </t>
    </r>
    <r>
      <rPr>
        <b/>
        <sz val="11"/>
        <color theme="1"/>
        <rFont val="Noto Sans CJK SC"/>
      </rPr>
      <t>最重要のみスコープ 比較】</t>
    </r>
  </si>
  <si>
    <t>フルスコープ</t>
  </si>
  <si>
    <t>最重要のみ</t>
  </si>
  <si>
    <t>差分</t>
  </si>
  <si>
    <r>
      <rPr>
        <sz val="11"/>
        <color theme="1"/>
        <rFont val="Arial"/>
        <family val="2"/>
      </rPr>
      <t>44</t>
    </r>
    <r>
      <rPr>
        <sz val="11"/>
        <color theme="1"/>
        <rFont val="Noto Sans CJK SC"/>
      </rPr>
      <t>項目</t>
    </r>
    <r>
      <rPr>
        <sz val="11"/>
        <color theme="1"/>
        <rFont val="Arial"/>
        <family val="2"/>
      </rPr>
      <t>+</t>
    </r>
    <r>
      <rPr>
        <sz val="11"/>
        <color theme="1"/>
        <rFont val="Noto Sans CJK SC"/>
      </rPr>
      <t>横断</t>
    </r>
  </si>
  <si>
    <r>
      <rPr>
        <b/>
        <sz val="11"/>
        <color rgb="FF006100"/>
        <rFont val="Arial"/>
        <family val="2"/>
      </rPr>
      <t>17</t>
    </r>
    <r>
      <rPr>
        <b/>
        <sz val="11"/>
        <color rgb="FF006100"/>
        <rFont val="Noto Sans CJK SC"/>
      </rPr>
      <t>項目</t>
    </r>
    <r>
      <rPr>
        <b/>
        <sz val="11"/>
        <color rgb="FF006100"/>
        <rFont val="Arial"/>
        <family val="2"/>
      </rPr>
      <t>+</t>
    </r>
    <r>
      <rPr>
        <b/>
        <sz val="11"/>
        <color rgb="FF006100"/>
        <rFont val="Noto Sans CJK SC"/>
      </rPr>
      <t>横断</t>
    </r>
  </si>
  <si>
    <r>
      <rPr>
        <sz val="11"/>
        <color rgb="FFC00000"/>
        <rFont val="Arial"/>
        <family val="2"/>
      </rPr>
      <t>▲27</t>
    </r>
    <r>
      <rPr>
        <sz val="11"/>
        <color rgb="FFC00000"/>
        <rFont val="Noto Sans CJK SC"/>
      </rPr>
      <t>項目</t>
    </r>
  </si>
  <si>
    <r>
      <rPr>
        <b/>
        <sz val="11"/>
        <color theme="1"/>
        <rFont val="Arial"/>
        <family val="2"/>
      </rPr>
      <t>AI</t>
    </r>
    <r>
      <rPr>
        <b/>
        <sz val="11"/>
        <color theme="1"/>
        <rFont val="Noto Sans CJK SC"/>
      </rPr>
      <t>前工数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人日</t>
    </r>
    <r>
      <rPr>
        <b/>
        <sz val="11"/>
        <color theme="1"/>
        <rFont val="Arial"/>
        <family val="2"/>
      </rPr>
      <t>)</t>
    </r>
  </si>
  <si>
    <t>129</t>
  </si>
  <si>
    <t>55</t>
  </si>
  <si>
    <t>▲74</t>
  </si>
  <si>
    <r>
      <rPr>
        <b/>
        <sz val="11"/>
        <color theme="1"/>
        <rFont val="Arial"/>
        <family val="2"/>
      </rPr>
      <t>AI</t>
    </r>
    <r>
      <rPr>
        <b/>
        <sz val="11"/>
        <color theme="1"/>
        <rFont val="Noto Sans CJK SC"/>
      </rPr>
      <t>後工数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人日</t>
    </r>
    <r>
      <rPr>
        <b/>
        <sz val="11"/>
        <color theme="1"/>
        <rFont val="Arial"/>
        <family val="2"/>
      </rPr>
      <t>)</t>
    </r>
  </si>
  <si>
    <t>61.5</t>
  </si>
  <si>
    <t>34.0</t>
  </si>
  <si>
    <t>▲27.5</t>
  </si>
  <si>
    <t>人件費合計</t>
  </si>
  <si>
    <t>¥2,600,000</t>
  </si>
  <si>
    <t>¥1,430,000</t>
  </si>
  <si>
    <t>▲¥1,170,000</t>
  </si>
  <si>
    <t>その他コスト</t>
  </si>
  <si>
    <t>¥215,000</t>
  </si>
  <si>
    <t>¥105,000</t>
  </si>
  <si>
    <t>▲¥110,000</t>
  </si>
  <si>
    <t>実費合計</t>
  </si>
  <si>
    <t>¥2,815,000</t>
  </si>
  <si>
    <t>¥1,535,000</t>
  </si>
  <si>
    <t>▲¥1,280,000</t>
  </si>
  <si>
    <r>
      <rPr>
        <b/>
        <sz val="11"/>
        <color theme="1"/>
        <rFont val="Noto Sans CJK SC"/>
      </rPr>
      <t>予算余裕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対</t>
    </r>
    <r>
      <rPr>
        <b/>
        <sz val="11"/>
        <color theme="1"/>
        <rFont val="Arial"/>
        <family val="2"/>
      </rPr>
      <t>300</t>
    </r>
    <r>
      <rPr>
        <b/>
        <sz val="11"/>
        <color theme="1"/>
        <rFont val="Noto Sans CJK SC"/>
      </rPr>
      <t>万円</t>
    </r>
    <r>
      <rPr>
        <b/>
        <sz val="11"/>
        <color theme="1"/>
        <rFont val="Arial"/>
        <family val="2"/>
      </rPr>
      <t>)</t>
    </r>
  </si>
  <si>
    <t>+¥185,000</t>
  </si>
  <si>
    <t>+¥1,465,000</t>
  </si>
  <si>
    <t>+¥1,280,000</t>
  </si>
  <si>
    <r>
      <rPr>
        <b/>
        <sz val="11"/>
        <color theme="1"/>
        <rFont val="Noto Sans CJK SC"/>
      </rPr>
      <t>稼働余裕</t>
    </r>
    <r>
      <rPr>
        <b/>
        <sz val="11"/>
        <color theme="1"/>
        <rFont val="Arial"/>
        <family val="2"/>
      </rPr>
      <t>(</t>
    </r>
    <r>
      <rPr>
        <b/>
        <sz val="11"/>
        <color theme="1"/>
        <rFont val="Noto Sans CJK SC"/>
      </rPr>
      <t>対</t>
    </r>
    <r>
      <rPr>
        <b/>
        <sz val="11"/>
        <color theme="1"/>
        <rFont val="Arial"/>
        <family val="2"/>
      </rPr>
      <t>42.75</t>
    </r>
    <r>
      <rPr>
        <b/>
        <sz val="11"/>
        <color theme="1"/>
        <rFont val="Noto Sans CJK SC"/>
      </rPr>
      <t>人日</t>
    </r>
    <r>
      <rPr>
        <b/>
        <sz val="11"/>
        <color theme="1"/>
        <rFont val="Arial"/>
        <family val="2"/>
      </rPr>
      <t>)</t>
    </r>
  </si>
  <si>
    <r>
      <rPr>
        <sz val="11"/>
        <color theme="1"/>
        <rFont val="Arial"/>
        <family val="2"/>
      </rPr>
      <t>▲18.75</t>
    </r>
    <r>
      <rPr>
        <sz val="11"/>
        <color theme="1"/>
        <rFont val="Noto Sans CJK SC"/>
      </rPr>
      <t>人日</t>
    </r>
    <r>
      <rPr>
        <sz val="11"/>
        <color theme="1"/>
        <rFont val="Arial"/>
        <family val="2"/>
      </rPr>
      <t>(</t>
    </r>
    <r>
      <rPr>
        <sz val="11"/>
        <color theme="1"/>
        <rFont val="Noto Sans CJK SC"/>
      </rPr>
      <t>不足</t>
    </r>
    <r>
      <rPr>
        <sz val="11"/>
        <color theme="1"/>
        <rFont val="Arial"/>
        <family val="2"/>
      </rPr>
      <t>)</t>
    </r>
  </si>
  <si>
    <r>
      <rPr>
        <b/>
        <sz val="11"/>
        <color rgb="FF006100"/>
        <rFont val="Arial"/>
        <family val="2"/>
      </rPr>
      <t>+8.75</t>
    </r>
    <r>
      <rPr>
        <b/>
        <sz val="11"/>
        <color rgb="FF006100"/>
        <rFont val="Noto Sans CJK SC"/>
      </rPr>
      <t>人日</t>
    </r>
    <r>
      <rPr>
        <b/>
        <sz val="11"/>
        <color rgb="FF006100"/>
        <rFont val="Arial"/>
        <family val="2"/>
      </rPr>
      <t>(</t>
    </r>
    <r>
      <rPr>
        <b/>
        <sz val="11"/>
        <color rgb="FF006100"/>
        <rFont val="Noto Sans CJK SC"/>
      </rPr>
      <t>余裕</t>
    </r>
    <r>
      <rPr>
        <b/>
        <sz val="11"/>
        <color rgb="FF006100"/>
        <rFont val="Arial"/>
        <family val="2"/>
      </rPr>
      <t>)</t>
    </r>
  </si>
  <si>
    <t>解消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</si>
</sst>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\%"/>
    <numFmt numFmtId="177" formatCode="\¥#,##0"/>
    <numFmt numFmtId="178" formatCode="\¥#,##0;[Red]&quot;¥-&quot;#,##0"/>
    <numFmt numFmtId="179" formatCode="0.0%"/>
    <numFmt numFmtId="180" formatCode="0.0"/>
    <numFmt numFmtId="181" formatCode="0.0;[Red]\-0.0"/>
  </numFmts>
  <fonts count="52">
    <font>
      <sz val="11"/>
      <color theme="1"/>
      <name val="Calibri"/>
      <scheme val="minor"/>
    </font>
    <font>
      <b/>
      <sz val="11"/>
      <color rgb="FFFFFFFF"/>
      <name val="Arial"/>
    </font>
    <font>
      <b/>
      <sz val="11"/>
      <color rgb="FFFFFFFF"/>
      <name val="Noto Sans"/>
    </font>
    <font>
      <sz val="11"/>
      <color theme="1"/>
      <name val="Arial"/>
    </font>
    <font>
      <sz val="11"/>
      <color theme="1"/>
      <name val="Noto Sans"/>
    </font>
    <font>
      <b/>
      <sz val="11"/>
      <color theme="1"/>
      <name val="Arial"/>
    </font>
    <font>
      <sz val="11"/>
      <color rgb="FF0000FF"/>
      <name val="Arial"/>
    </font>
    <font>
      <sz val="9"/>
      <color theme="1"/>
      <name val="Arial"/>
    </font>
    <font>
      <sz val="11"/>
      <color rgb="FF000000"/>
      <name val="Arial"/>
    </font>
    <font>
      <i/>
      <sz val="9"/>
      <color rgb="FF595959"/>
      <name val="Noto Sans"/>
    </font>
    <font>
      <sz val="11"/>
      <color theme="1"/>
      <name val="Calibri"/>
      <scheme val="minor"/>
    </font>
    <font>
      <i/>
      <sz val="9"/>
      <color rgb="FF595959"/>
      <name val="Arial"/>
    </font>
    <font>
      <sz val="9"/>
      <color theme="1"/>
      <name val="Noto Sans"/>
    </font>
    <font>
      <b/>
      <sz val="11"/>
      <color theme="1"/>
      <name val="Noto Sans"/>
    </font>
    <font>
      <sz val="11"/>
      <color theme="1"/>
      <name val="Calibri"/>
    </font>
    <font>
      <b/>
      <sz val="12"/>
      <color theme="1"/>
      <name val="Noto Sans"/>
    </font>
    <font>
      <b/>
      <sz val="12"/>
      <color theme="1"/>
      <name val="Arial"/>
    </font>
    <font>
      <b/>
      <sz val="14"/>
      <color theme="1"/>
      <name val="Noto Sans"/>
    </font>
    <font>
      <b/>
      <sz val="10"/>
      <color theme="1"/>
      <name val="Noto Sans"/>
    </font>
    <font>
      <sz val="10"/>
      <color theme="1"/>
      <name val="Arial"/>
    </font>
    <font>
      <sz val="10"/>
      <color theme="1"/>
      <name val="Noto Sans"/>
    </font>
    <font>
      <i/>
      <sz val="10"/>
      <color rgb="FF595959"/>
      <name val="Noto Sans"/>
    </font>
    <font>
      <sz val="11"/>
      <name val="Calibri"/>
    </font>
    <font>
      <b/>
      <sz val="11"/>
      <color rgb="FF006100"/>
      <name val="Arial"/>
    </font>
    <font>
      <sz val="11"/>
      <color rgb="FFC00000"/>
      <name val="Arial"/>
    </font>
    <font>
      <sz val="11"/>
      <color rgb="FFC00000"/>
      <name val="Noto Sans"/>
    </font>
    <font>
      <b/>
      <sz val="11"/>
      <color rgb="FFFFFFFF"/>
      <name val="Noto Sans CJK SC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Noto Sans CJK SC"/>
    </font>
    <font>
      <b/>
      <sz val="11"/>
      <color theme="1"/>
      <name val="Arial"/>
      <family val="2"/>
    </font>
    <font>
      <b/>
      <sz val="11"/>
      <color theme="1"/>
      <name val="Noto Sans CJK SC"/>
    </font>
    <font>
      <sz val="9"/>
      <color theme="1"/>
      <name val="Arial"/>
      <family val="2"/>
    </font>
    <font>
      <sz val="9"/>
      <color theme="1"/>
      <name val="Noto Sans CJK SC"/>
    </font>
    <font>
      <i/>
      <sz val="9"/>
      <color rgb="FF595959"/>
      <name val="Noto Sans CJK SC"/>
    </font>
    <font>
      <i/>
      <sz val="9"/>
      <color rgb="FF595959"/>
      <name val="Arial"/>
      <family val="2"/>
    </font>
    <font>
      <b/>
      <sz val="14"/>
      <color theme="1"/>
      <name val="Noto Sans CJK SC"/>
    </font>
    <font>
      <b/>
      <sz val="14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Noto Sans CJK SC"/>
    </font>
    <font>
      <b/>
      <sz val="12"/>
      <color theme="1"/>
      <name val="Arial"/>
      <family val="2"/>
    </font>
    <font>
      <b/>
      <sz val="10"/>
      <color theme="1"/>
      <name val="Noto Sans CJK SC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Noto Sans CJK SC"/>
    </font>
    <font>
      <i/>
      <sz val="10"/>
      <color rgb="FF595959"/>
      <name val="Noto Sans CJK SC"/>
    </font>
    <font>
      <i/>
      <sz val="10"/>
      <color rgb="FF595959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Noto Sans CJK SC"/>
    </font>
    <font>
      <sz val="11"/>
      <color rgb="FFC00000"/>
      <name val="Arial"/>
      <family val="2"/>
    </font>
    <font>
      <sz val="11"/>
      <color rgb="FFC00000"/>
      <name val="Noto Sans CJK SC"/>
    </font>
    <font>
      <sz val="6"/>
      <name val="Calibri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E8EEF5"/>
        <bgColor rgb="FFE8EEF5"/>
      </patternFill>
    </fill>
    <fill>
      <patternFill patternType="solid">
        <fgColor rgb="FFEAF4EA"/>
        <bgColor rgb="FFEAF4EA"/>
      </patternFill>
    </fill>
    <fill>
      <patternFill patternType="solid">
        <fgColor rgb="FFE5F1EE"/>
        <bgColor rgb="FFE5F1EE"/>
      </patternFill>
    </fill>
    <fill>
      <patternFill patternType="solid">
        <fgColor rgb="FFFCEEDC"/>
        <bgColor rgb="FFFCEEDC"/>
      </patternFill>
    </fill>
    <fill>
      <patternFill patternType="solid">
        <fgColor rgb="FFF5E8E8"/>
        <bgColor rgb="FFF5E8E8"/>
      </patternFill>
    </fill>
    <fill>
      <patternFill patternType="solid">
        <fgColor rgb="FFDDDDDD"/>
        <bgColor rgb="FFDDDDDD"/>
      </patternFill>
    </fill>
    <fill>
      <patternFill patternType="solid">
        <fgColor rgb="FFCCE5CC"/>
        <bgColor rgb="FFCCE5CC"/>
      </patternFill>
    </fill>
    <fill>
      <patternFill patternType="solid">
        <fgColor rgb="FFFFF2CC"/>
        <b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left" vertical="center" wrapText="1"/>
    </xf>
    <xf numFmtId="177" fontId="8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14" fillId="10" borderId="1" xfId="0" applyFont="1" applyFill="1" applyBorder="1"/>
    <xf numFmtId="0" fontId="15" fillId="10" borderId="1" xfId="0" applyFont="1" applyFill="1" applyBorder="1" applyAlignment="1">
      <alignment horizontal="right" vertical="center"/>
    </xf>
    <xf numFmtId="0" fontId="5" fillId="10" borderId="1" xfId="0" applyFont="1" applyFill="1" applyBorder="1" applyAlignment="1">
      <alignment horizontal="center"/>
    </xf>
    <xf numFmtId="177" fontId="5" fillId="10" borderId="1" xfId="0" applyNumberFormat="1" applyFont="1" applyFill="1" applyBorder="1"/>
    <xf numFmtId="177" fontId="16" fillId="10" borderId="1" xfId="0" applyNumberFormat="1" applyFont="1" applyFill="1" applyBorder="1"/>
    <xf numFmtId="0" fontId="13" fillId="0" borderId="0" xfId="0" applyFont="1"/>
    <xf numFmtId="177" fontId="6" fillId="0" borderId="0" xfId="0" applyNumberFormat="1" applyFont="1"/>
    <xf numFmtId="178" fontId="8" fillId="0" borderId="0" xfId="0" applyNumberFormat="1" applyFont="1"/>
    <xf numFmtId="179" fontId="8" fillId="0" borderId="0" xfId="0" applyNumberFormat="1" applyFont="1"/>
    <xf numFmtId="0" fontId="3" fillId="0" borderId="0" xfId="0" applyFont="1"/>
    <xf numFmtId="180" fontId="8" fillId="0" borderId="0" xfId="0" applyNumberFormat="1" applyFont="1" applyAlignment="1">
      <alignment horizontal="center"/>
    </xf>
    <xf numFmtId="0" fontId="4" fillId="0" borderId="0" xfId="0" applyFont="1"/>
    <xf numFmtId="181" fontId="8" fillId="0" borderId="0" xfId="0" applyNumberFormat="1" applyFont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3" fontId="3" fillId="0" borderId="1" xfId="0" applyNumberFormat="1" applyFont="1" applyBorder="1" applyAlignment="1">
      <alignment vertical="center" wrapText="1"/>
    </xf>
    <xf numFmtId="180" fontId="3" fillId="0" borderId="1" xfId="0" applyNumberFormat="1" applyFont="1" applyBorder="1" applyAlignment="1">
      <alignment vertical="center" wrapText="1"/>
    </xf>
    <xf numFmtId="179" fontId="3" fillId="0" borderId="1" xfId="0" applyNumberFormat="1" applyFont="1" applyBorder="1" applyAlignment="1">
      <alignment vertical="center" wrapText="1"/>
    </xf>
    <xf numFmtId="177" fontId="3" fillId="0" borderId="1" xfId="0" applyNumberFormat="1" applyFont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vertical="center" wrapText="1"/>
    </xf>
    <xf numFmtId="0" fontId="5" fillId="9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179" fontId="14" fillId="0" borderId="1" xfId="0" applyNumberFormat="1" applyFont="1" applyBorder="1" applyAlignment="1">
      <alignment vertical="center"/>
    </xf>
    <xf numFmtId="177" fontId="14" fillId="0" borderId="1" xfId="0" applyNumberFormat="1" applyFont="1" applyBorder="1" applyAlignment="1">
      <alignment vertical="center"/>
    </xf>
    <xf numFmtId="0" fontId="13" fillId="10" borderId="2" xfId="0" applyFont="1" applyFill="1" applyBorder="1"/>
    <xf numFmtId="3" fontId="5" fillId="10" borderId="1" xfId="0" applyNumberFormat="1" applyFont="1" applyFill="1" applyBorder="1"/>
    <xf numFmtId="180" fontId="5" fillId="10" borderId="1" xfId="0" applyNumberFormat="1" applyFont="1" applyFill="1" applyBorder="1"/>
    <xf numFmtId="179" fontId="5" fillId="10" borderId="1" xfId="0" applyNumberFormat="1" applyFont="1" applyFill="1" applyBorder="1"/>
    <xf numFmtId="178" fontId="14" fillId="0" borderId="0" xfId="0" applyNumberFormat="1" applyFont="1"/>
    <xf numFmtId="179" fontId="14" fillId="0" borderId="0" xfId="0" applyNumberFormat="1" applyFont="1"/>
    <xf numFmtId="180" fontId="8" fillId="0" borderId="0" xfId="0" applyNumberFormat="1" applyFont="1"/>
    <xf numFmtId="180" fontId="14" fillId="0" borderId="0" xfId="0" applyNumberFormat="1" applyFont="1"/>
    <xf numFmtId="181" fontId="14" fillId="0" borderId="0" xfId="0" applyNumberFormat="1" applyFont="1"/>
    <xf numFmtId="0" fontId="15" fillId="0" borderId="0" xfId="0" applyFont="1"/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14" fillId="0" borderId="1" xfId="0" applyNumberFormat="1" applyFont="1" applyBorder="1" applyAlignment="1">
      <alignment horizontal="left" vertical="center" wrapText="1"/>
    </xf>
    <xf numFmtId="0" fontId="17" fillId="0" borderId="0" xfId="0" applyFont="1"/>
    <xf numFmtId="0" fontId="0" fillId="0" borderId="0" xfId="0"/>
    <xf numFmtId="0" fontId="18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5" fillId="0" borderId="3" xfId="0" applyFont="1" applyBorder="1"/>
    <xf numFmtId="0" fontId="22" fillId="0" borderId="5" xfId="0" applyFont="1" applyBorder="1"/>
    <xf numFmtId="0" fontId="3" fillId="0" borderId="3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13" fillId="0" borderId="3" xfId="0" applyFont="1" applyBorder="1"/>
    <xf numFmtId="0" fontId="21" fillId="0" borderId="0" xfId="0" applyFont="1"/>
    <xf numFmtId="0" fontId="1" fillId="2" borderId="3" xfId="0" applyFont="1" applyFill="1" applyBorder="1" applyAlignment="1">
      <alignment horizontal="center" vertical="center"/>
    </xf>
    <xf numFmtId="0" fontId="22" fillId="0" borderId="4" xfId="0" applyFont="1" applyBorder="1"/>
    <xf numFmtId="0" fontId="2" fillId="2" borderId="3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00"/>
  <sheetViews>
    <sheetView tabSelected="1" workbookViewId="0">
      <selection activeCell="G19" sqref="G19"/>
    </sheetView>
  </sheetViews>
  <sheetFormatPr baseColWidth="10" defaultColWidth="14.5" defaultRowHeight="15" customHeight="1"/>
  <cols>
    <col min="1" max="1" width="5" customWidth="1"/>
    <col min="2" max="2" width="28" customWidth="1"/>
    <col min="3" max="3" width="30" customWidth="1"/>
    <col min="4" max="4" width="28" customWidth="1"/>
    <col min="5" max="5" width="24" customWidth="1"/>
    <col min="6" max="6" width="6" customWidth="1"/>
    <col min="7" max="7" width="51" customWidth="1"/>
    <col min="8" max="8" width="6" customWidth="1"/>
    <col min="9" max="9" width="41.33203125" customWidth="1"/>
    <col min="10" max="10" width="22" customWidth="1"/>
    <col min="11" max="11" width="9" customWidth="1"/>
    <col min="12" max="12" width="12" customWidth="1"/>
    <col min="13" max="13" width="11" customWidth="1"/>
    <col min="14" max="14" width="38" customWidth="1"/>
    <col min="15" max="15" width="12" customWidth="1"/>
    <col min="16" max="17" width="14" customWidth="1"/>
    <col min="18" max="18" width="12" customWidth="1"/>
    <col min="19" max="20" width="13" customWidth="1"/>
    <col min="21" max="21" width="28" customWidth="1"/>
    <col min="22" max="22" width="16" customWidth="1"/>
    <col min="23" max="23" width="30" customWidth="1"/>
    <col min="24" max="25" width="14.5" customWidth="1"/>
    <col min="26" max="26" width="11.83203125" customWidth="1"/>
    <col min="27" max="27" width="8.6640625" customWidth="1"/>
  </cols>
  <sheetData>
    <row r="1" spans="1:26" ht="49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45" hidden="1">
      <c r="A2" s="3">
        <v>1</v>
      </c>
      <c r="B2" s="3" t="s">
        <v>26</v>
      </c>
      <c r="C2" s="3" t="s">
        <v>27</v>
      </c>
      <c r="D2" s="4" t="s">
        <v>28</v>
      </c>
      <c r="E2" s="5" t="s">
        <v>29</v>
      </c>
      <c r="F2" s="3" t="s">
        <v>30</v>
      </c>
      <c r="G2" s="4" t="s">
        <v>31</v>
      </c>
      <c r="H2" s="4" t="s">
        <v>32</v>
      </c>
      <c r="I2" s="3" t="s">
        <v>33</v>
      </c>
      <c r="J2" s="4" t="s">
        <v>34</v>
      </c>
      <c r="K2" s="6">
        <v>5</v>
      </c>
      <c r="L2" s="6">
        <v>3</v>
      </c>
      <c r="M2" s="7">
        <v>60</v>
      </c>
      <c r="N2" s="8" t="s">
        <v>35</v>
      </c>
      <c r="O2" s="9">
        <f t="shared" ref="O2:O46" si="0">ROUND(L2*(1-M2/100)*2,0)/2</f>
        <v>1</v>
      </c>
      <c r="P2" s="3" t="s">
        <v>36</v>
      </c>
      <c r="Q2" s="3" t="s">
        <v>37</v>
      </c>
      <c r="R2" s="10">
        <v>40000</v>
      </c>
      <c r="S2" s="11">
        <f t="shared" ref="S2:S46" si="1">O2*R2</f>
        <v>40000</v>
      </c>
      <c r="T2" s="10">
        <v>0</v>
      </c>
      <c r="U2" s="12"/>
      <c r="V2" s="11">
        <f t="shared" ref="V2:V47" si="2">S2+T2</f>
        <v>40000</v>
      </c>
      <c r="W2" s="13" t="s">
        <v>38</v>
      </c>
      <c r="X2" s="14">
        <v>1</v>
      </c>
      <c r="Y2" s="15"/>
      <c r="Z2" s="16" t="b">
        <v>0</v>
      </c>
    </row>
    <row r="3" spans="1:26" ht="45" hidden="1">
      <c r="A3" s="3">
        <v>2</v>
      </c>
      <c r="B3" s="3" t="s">
        <v>39</v>
      </c>
      <c r="C3" s="3" t="s">
        <v>40</v>
      </c>
      <c r="D3" s="4" t="s">
        <v>41</v>
      </c>
      <c r="E3" s="5" t="s">
        <v>42</v>
      </c>
      <c r="F3" s="3" t="s">
        <v>30</v>
      </c>
      <c r="G3" s="4" t="s">
        <v>43</v>
      </c>
      <c r="H3" s="4" t="s">
        <v>44</v>
      </c>
      <c r="I3" s="4" t="s">
        <v>45</v>
      </c>
      <c r="J3" s="4" t="s">
        <v>34</v>
      </c>
      <c r="K3" s="6">
        <v>5</v>
      </c>
      <c r="L3" s="6">
        <v>4</v>
      </c>
      <c r="M3" s="7">
        <v>60</v>
      </c>
      <c r="N3" s="8" t="s">
        <v>46</v>
      </c>
      <c r="O3" s="9">
        <f t="shared" si="0"/>
        <v>1.5</v>
      </c>
      <c r="P3" s="3" t="s">
        <v>47</v>
      </c>
      <c r="Q3" s="3" t="s">
        <v>48</v>
      </c>
      <c r="R3" s="10">
        <v>40000</v>
      </c>
      <c r="S3" s="11">
        <f t="shared" si="1"/>
        <v>60000</v>
      </c>
      <c r="T3" s="10">
        <v>0</v>
      </c>
      <c r="U3" s="12"/>
      <c r="V3" s="11">
        <f t="shared" si="2"/>
        <v>60000</v>
      </c>
      <c r="W3" s="13" t="s">
        <v>49</v>
      </c>
      <c r="X3" s="14">
        <v>1</v>
      </c>
      <c r="Y3" s="15"/>
      <c r="Z3" s="16" t="b">
        <v>0</v>
      </c>
    </row>
    <row r="4" spans="1:26" ht="45" hidden="1">
      <c r="A4" s="3">
        <v>3</v>
      </c>
      <c r="B4" s="3" t="s">
        <v>50</v>
      </c>
      <c r="C4" s="3" t="s">
        <v>51</v>
      </c>
      <c r="D4" s="4" t="s">
        <v>52</v>
      </c>
      <c r="E4" s="5" t="s">
        <v>53</v>
      </c>
      <c r="F4" s="3" t="s">
        <v>30</v>
      </c>
      <c r="G4" s="4" t="s">
        <v>54</v>
      </c>
      <c r="H4" s="4" t="s">
        <v>55</v>
      </c>
      <c r="I4" s="3" t="s">
        <v>56</v>
      </c>
      <c r="J4" s="4" t="s">
        <v>34</v>
      </c>
      <c r="K4" s="6">
        <v>4</v>
      </c>
      <c r="L4" s="6">
        <v>3</v>
      </c>
      <c r="M4" s="7">
        <v>60</v>
      </c>
      <c r="N4" s="8" t="s">
        <v>57</v>
      </c>
      <c r="O4" s="9">
        <f t="shared" si="0"/>
        <v>1</v>
      </c>
      <c r="P4" s="3" t="s">
        <v>58</v>
      </c>
      <c r="Q4" s="3" t="s">
        <v>59</v>
      </c>
      <c r="R4" s="10">
        <v>40000</v>
      </c>
      <c r="S4" s="11">
        <f t="shared" si="1"/>
        <v>40000</v>
      </c>
      <c r="T4" s="10">
        <v>0</v>
      </c>
      <c r="U4" s="12"/>
      <c r="V4" s="11">
        <f t="shared" si="2"/>
        <v>40000</v>
      </c>
      <c r="W4" s="13" t="s">
        <v>60</v>
      </c>
      <c r="X4" s="14">
        <v>1</v>
      </c>
      <c r="Y4" s="15"/>
      <c r="Z4" s="16" t="b">
        <v>0</v>
      </c>
    </row>
    <row r="5" spans="1:26" ht="45" hidden="1">
      <c r="A5" s="3">
        <v>4</v>
      </c>
      <c r="B5" s="3" t="s">
        <v>61</v>
      </c>
      <c r="C5" s="3" t="s">
        <v>62</v>
      </c>
      <c r="D5" s="4" t="s">
        <v>63</v>
      </c>
      <c r="E5" s="5" t="s">
        <v>64</v>
      </c>
      <c r="F5" s="3" t="s">
        <v>65</v>
      </c>
      <c r="G5" s="4" t="s">
        <v>66</v>
      </c>
      <c r="H5" s="4" t="s">
        <v>32</v>
      </c>
      <c r="I5" s="4" t="s">
        <v>67</v>
      </c>
      <c r="J5" s="4" t="s">
        <v>34</v>
      </c>
      <c r="K5" s="6">
        <v>3</v>
      </c>
      <c r="L5" s="6">
        <v>2</v>
      </c>
      <c r="M5" s="7">
        <v>60</v>
      </c>
      <c r="N5" s="8" t="s">
        <v>68</v>
      </c>
      <c r="O5" s="9">
        <f t="shared" si="0"/>
        <v>1</v>
      </c>
      <c r="P5" s="3" t="s">
        <v>69</v>
      </c>
      <c r="Q5" s="3" t="s">
        <v>70</v>
      </c>
      <c r="R5" s="10">
        <v>40000</v>
      </c>
      <c r="S5" s="11">
        <f t="shared" si="1"/>
        <v>40000</v>
      </c>
      <c r="T5" s="10">
        <v>0</v>
      </c>
      <c r="U5" s="12"/>
      <c r="V5" s="11">
        <f t="shared" si="2"/>
        <v>40000</v>
      </c>
      <c r="W5" s="13" t="s">
        <v>71</v>
      </c>
      <c r="X5" s="14">
        <v>1</v>
      </c>
      <c r="Y5" s="15"/>
      <c r="Z5" s="16" t="b">
        <v>0</v>
      </c>
    </row>
    <row r="6" spans="1:26" ht="45" hidden="1">
      <c r="A6" s="3">
        <v>5</v>
      </c>
      <c r="B6" s="3" t="s">
        <v>72</v>
      </c>
      <c r="C6" s="3" t="s">
        <v>73</v>
      </c>
      <c r="D6" s="4" t="s">
        <v>74</v>
      </c>
      <c r="E6" s="5" t="s">
        <v>75</v>
      </c>
      <c r="F6" s="3" t="s">
        <v>65</v>
      </c>
      <c r="G6" s="4" t="s">
        <v>66</v>
      </c>
      <c r="H6" s="4" t="s">
        <v>44</v>
      </c>
      <c r="I6" s="4" t="s">
        <v>76</v>
      </c>
      <c r="J6" s="4" t="s">
        <v>34</v>
      </c>
      <c r="K6" s="6">
        <v>3</v>
      </c>
      <c r="L6" s="6">
        <v>2</v>
      </c>
      <c r="M6" s="7">
        <v>60</v>
      </c>
      <c r="N6" s="8" t="s">
        <v>77</v>
      </c>
      <c r="O6" s="9">
        <f t="shared" si="0"/>
        <v>1</v>
      </c>
      <c r="P6" s="3" t="s">
        <v>78</v>
      </c>
      <c r="Q6" s="3" t="s">
        <v>79</v>
      </c>
      <c r="R6" s="10">
        <v>40000</v>
      </c>
      <c r="S6" s="11">
        <f t="shared" si="1"/>
        <v>40000</v>
      </c>
      <c r="T6" s="10">
        <v>0</v>
      </c>
      <c r="U6" s="12"/>
      <c r="V6" s="11">
        <f t="shared" si="2"/>
        <v>40000</v>
      </c>
      <c r="W6" s="13" t="s">
        <v>80</v>
      </c>
      <c r="X6" s="14">
        <v>1</v>
      </c>
      <c r="Y6" s="15"/>
      <c r="Z6" s="16" t="b">
        <v>0</v>
      </c>
    </row>
    <row r="7" spans="1:26" ht="45" hidden="1">
      <c r="A7" s="3">
        <v>6</v>
      </c>
      <c r="B7" s="3" t="s">
        <v>81</v>
      </c>
      <c r="C7" s="3" t="s">
        <v>82</v>
      </c>
      <c r="D7" s="4" t="s">
        <v>83</v>
      </c>
      <c r="E7" s="5" t="s">
        <v>84</v>
      </c>
      <c r="F7" s="3" t="s">
        <v>65</v>
      </c>
      <c r="G7" s="4" t="s">
        <v>66</v>
      </c>
      <c r="H7" s="4" t="s">
        <v>55</v>
      </c>
      <c r="I7" s="4" t="s">
        <v>85</v>
      </c>
      <c r="J7" s="4" t="s">
        <v>34</v>
      </c>
      <c r="K7" s="6">
        <v>3</v>
      </c>
      <c r="L7" s="6">
        <v>2</v>
      </c>
      <c r="M7" s="7">
        <v>60</v>
      </c>
      <c r="N7" s="8" t="s">
        <v>86</v>
      </c>
      <c r="O7" s="9">
        <f t="shared" si="0"/>
        <v>1</v>
      </c>
      <c r="P7" s="3" t="s">
        <v>87</v>
      </c>
      <c r="Q7" s="3" t="s">
        <v>88</v>
      </c>
      <c r="R7" s="10">
        <v>40000</v>
      </c>
      <c r="S7" s="11">
        <f t="shared" si="1"/>
        <v>40000</v>
      </c>
      <c r="T7" s="10">
        <v>0</v>
      </c>
      <c r="U7" s="12"/>
      <c r="V7" s="11">
        <f t="shared" si="2"/>
        <v>40000</v>
      </c>
      <c r="W7" s="13" t="s">
        <v>89</v>
      </c>
      <c r="X7" s="14">
        <v>1</v>
      </c>
      <c r="Y7" s="15"/>
      <c r="Z7" s="16" t="b">
        <v>0</v>
      </c>
    </row>
    <row r="8" spans="1:26" ht="45" hidden="1">
      <c r="A8" s="3">
        <v>7</v>
      </c>
      <c r="B8" s="3" t="s">
        <v>90</v>
      </c>
      <c r="C8" s="3" t="s">
        <v>91</v>
      </c>
      <c r="D8" s="4" t="s">
        <v>92</v>
      </c>
      <c r="E8" s="5" t="s">
        <v>93</v>
      </c>
      <c r="F8" s="3" t="s">
        <v>65</v>
      </c>
      <c r="G8" s="4" t="s">
        <v>66</v>
      </c>
      <c r="H8" s="4" t="s">
        <v>94</v>
      </c>
      <c r="I8" s="4" t="s">
        <v>95</v>
      </c>
      <c r="J8" s="4" t="s">
        <v>34</v>
      </c>
      <c r="K8" s="6">
        <v>4</v>
      </c>
      <c r="L8" s="6">
        <v>3</v>
      </c>
      <c r="M8" s="7">
        <v>60</v>
      </c>
      <c r="N8" s="8" t="s">
        <v>96</v>
      </c>
      <c r="O8" s="9">
        <f t="shared" si="0"/>
        <v>1</v>
      </c>
      <c r="P8" s="3" t="s">
        <v>97</v>
      </c>
      <c r="Q8" s="3" t="s">
        <v>98</v>
      </c>
      <c r="R8" s="10">
        <v>40000</v>
      </c>
      <c r="S8" s="11">
        <f t="shared" si="1"/>
        <v>40000</v>
      </c>
      <c r="T8" s="10">
        <v>0</v>
      </c>
      <c r="U8" s="12"/>
      <c r="V8" s="11">
        <f t="shared" si="2"/>
        <v>40000</v>
      </c>
      <c r="W8" s="13" t="s">
        <v>99</v>
      </c>
      <c r="X8" s="14">
        <v>1</v>
      </c>
      <c r="Y8" s="15"/>
      <c r="Z8" s="16" t="b">
        <v>0</v>
      </c>
    </row>
    <row r="9" spans="1:26" ht="45" hidden="1">
      <c r="A9" s="3">
        <v>8</v>
      </c>
      <c r="B9" s="3" t="s">
        <v>100</v>
      </c>
      <c r="C9" s="3" t="s">
        <v>101</v>
      </c>
      <c r="D9" s="4" t="s">
        <v>102</v>
      </c>
      <c r="E9" s="5" t="s">
        <v>103</v>
      </c>
      <c r="F9" s="3" t="s">
        <v>30</v>
      </c>
      <c r="G9" s="4" t="s">
        <v>104</v>
      </c>
      <c r="H9" s="4" t="s">
        <v>94</v>
      </c>
      <c r="I9" s="4" t="s">
        <v>105</v>
      </c>
      <c r="J9" s="4" t="s">
        <v>34</v>
      </c>
      <c r="K9" s="6">
        <v>3</v>
      </c>
      <c r="L9" s="6">
        <v>2</v>
      </c>
      <c r="M9" s="7">
        <v>60</v>
      </c>
      <c r="N9" s="8" t="s">
        <v>106</v>
      </c>
      <c r="O9" s="9">
        <f t="shared" si="0"/>
        <v>1</v>
      </c>
      <c r="P9" s="3" t="s">
        <v>107</v>
      </c>
      <c r="Q9" s="3" t="s">
        <v>108</v>
      </c>
      <c r="R9" s="10">
        <v>40000</v>
      </c>
      <c r="S9" s="11">
        <f t="shared" si="1"/>
        <v>40000</v>
      </c>
      <c r="T9" s="10">
        <v>0</v>
      </c>
      <c r="U9" s="12"/>
      <c r="V9" s="11">
        <f t="shared" si="2"/>
        <v>40000</v>
      </c>
      <c r="W9" s="13"/>
      <c r="X9" s="14">
        <v>1</v>
      </c>
      <c r="Y9" s="15"/>
      <c r="Z9" s="16" t="b">
        <v>0</v>
      </c>
    </row>
    <row r="10" spans="1:26" ht="45" hidden="1">
      <c r="A10" s="3">
        <v>9</v>
      </c>
      <c r="B10" s="3" t="s">
        <v>109</v>
      </c>
      <c r="C10" s="3" t="s">
        <v>110</v>
      </c>
      <c r="D10" s="4" t="s">
        <v>111</v>
      </c>
      <c r="E10" s="5" t="s">
        <v>112</v>
      </c>
      <c r="F10" s="3" t="s">
        <v>113</v>
      </c>
      <c r="G10" s="4" t="s">
        <v>114</v>
      </c>
      <c r="H10" s="4" t="s">
        <v>32</v>
      </c>
      <c r="I10" s="4" t="s">
        <v>115</v>
      </c>
      <c r="J10" s="4" t="s">
        <v>34</v>
      </c>
      <c r="K10" s="6">
        <v>5</v>
      </c>
      <c r="L10" s="6">
        <v>3</v>
      </c>
      <c r="M10" s="7">
        <v>65</v>
      </c>
      <c r="N10" s="8" t="s">
        <v>116</v>
      </c>
      <c r="O10" s="9">
        <f t="shared" si="0"/>
        <v>1</v>
      </c>
      <c r="P10" s="3" t="s">
        <v>117</v>
      </c>
      <c r="Q10" s="3" t="s">
        <v>118</v>
      </c>
      <c r="R10" s="10">
        <v>40000</v>
      </c>
      <c r="S10" s="11">
        <f t="shared" si="1"/>
        <v>40000</v>
      </c>
      <c r="T10" s="10">
        <v>0</v>
      </c>
      <c r="U10" s="12"/>
      <c r="V10" s="11">
        <f t="shared" si="2"/>
        <v>40000</v>
      </c>
      <c r="W10" s="13"/>
      <c r="X10" s="15"/>
      <c r="Y10" s="15"/>
      <c r="Z10" s="16" t="b">
        <v>0</v>
      </c>
    </row>
    <row r="11" spans="1:26" ht="45" hidden="1">
      <c r="A11" s="3">
        <v>10</v>
      </c>
      <c r="B11" s="3" t="s">
        <v>119</v>
      </c>
      <c r="C11" s="3" t="s">
        <v>120</v>
      </c>
      <c r="D11" s="4" t="s">
        <v>121</v>
      </c>
      <c r="E11" s="5" t="s">
        <v>122</v>
      </c>
      <c r="F11" s="3" t="s">
        <v>113</v>
      </c>
      <c r="G11" s="4" t="s">
        <v>123</v>
      </c>
      <c r="H11" s="4" t="s">
        <v>44</v>
      </c>
      <c r="I11" s="4" t="s">
        <v>124</v>
      </c>
      <c r="J11" s="4" t="s">
        <v>34</v>
      </c>
      <c r="K11" s="6">
        <v>5</v>
      </c>
      <c r="L11" s="6">
        <v>4</v>
      </c>
      <c r="M11" s="7">
        <v>50</v>
      </c>
      <c r="N11" s="8" t="s">
        <v>125</v>
      </c>
      <c r="O11" s="9">
        <f t="shared" si="0"/>
        <v>2</v>
      </c>
      <c r="P11" s="3" t="s">
        <v>126</v>
      </c>
      <c r="Q11" s="3" t="s">
        <v>127</v>
      </c>
      <c r="R11" s="10">
        <v>40000</v>
      </c>
      <c r="S11" s="11">
        <f t="shared" si="1"/>
        <v>80000</v>
      </c>
      <c r="T11" s="10">
        <v>0</v>
      </c>
      <c r="U11" s="12"/>
      <c r="V11" s="11">
        <f t="shared" si="2"/>
        <v>80000</v>
      </c>
      <c r="W11" s="13" t="s">
        <v>128</v>
      </c>
      <c r="X11" s="15"/>
      <c r="Y11" s="15"/>
      <c r="Z11" s="16" t="b">
        <v>0</v>
      </c>
    </row>
    <row r="12" spans="1:26" ht="45" hidden="1">
      <c r="A12" s="3">
        <v>11</v>
      </c>
      <c r="B12" s="3" t="s">
        <v>129</v>
      </c>
      <c r="C12" s="3" t="s">
        <v>130</v>
      </c>
      <c r="D12" s="4" t="s">
        <v>131</v>
      </c>
      <c r="E12" s="5" t="s">
        <v>132</v>
      </c>
      <c r="F12" s="3" t="s">
        <v>113</v>
      </c>
      <c r="G12" s="4" t="s">
        <v>133</v>
      </c>
      <c r="H12" s="4" t="s">
        <v>55</v>
      </c>
      <c r="I12" s="4" t="s">
        <v>134</v>
      </c>
      <c r="J12" s="4" t="s">
        <v>34</v>
      </c>
      <c r="K12" s="6">
        <v>4</v>
      </c>
      <c r="L12" s="6">
        <v>3</v>
      </c>
      <c r="M12" s="7">
        <v>65</v>
      </c>
      <c r="N12" s="8" t="s">
        <v>135</v>
      </c>
      <c r="O12" s="9">
        <f t="shared" si="0"/>
        <v>1</v>
      </c>
      <c r="P12" s="3" t="s">
        <v>136</v>
      </c>
      <c r="Q12" s="3" t="s">
        <v>137</v>
      </c>
      <c r="R12" s="10">
        <v>40000</v>
      </c>
      <c r="S12" s="11">
        <f t="shared" si="1"/>
        <v>40000</v>
      </c>
      <c r="T12" s="10">
        <v>0</v>
      </c>
      <c r="U12" s="12"/>
      <c r="V12" s="11">
        <f t="shared" si="2"/>
        <v>40000</v>
      </c>
      <c r="W12" s="13"/>
      <c r="X12" s="15"/>
      <c r="Y12" s="15"/>
      <c r="Z12" s="16" t="b">
        <v>0</v>
      </c>
    </row>
    <row r="13" spans="1:26" ht="45" hidden="1">
      <c r="A13" s="3">
        <v>12</v>
      </c>
      <c r="B13" s="3" t="s">
        <v>138</v>
      </c>
      <c r="C13" s="3" t="s">
        <v>139</v>
      </c>
      <c r="D13" s="4" t="s">
        <v>140</v>
      </c>
      <c r="E13" s="5" t="s">
        <v>141</v>
      </c>
      <c r="F13" s="3" t="s">
        <v>142</v>
      </c>
      <c r="G13" s="4" t="s">
        <v>143</v>
      </c>
      <c r="H13" s="4" t="s">
        <v>32</v>
      </c>
      <c r="I13" s="4" t="s">
        <v>144</v>
      </c>
      <c r="J13" s="4" t="s">
        <v>34</v>
      </c>
      <c r="K13" s="6">
        <v>5</v>
      </c>
      <c r="L13" s="6">
        <v>4</v>
      </c>
      <c r="M13" s="7">
        <v>50</v>
      </c>
      <c r="N13" s="8" t="s">
        <v>145</v>
      </c>
      <c r="O13" s="9">
        <f t="shared" si="0"/>
        <v>2</v>
      </c>
      <c r="P13" s="3" t="s">
        <v>146</v>
      </c>
      <c r="Q13" s="3" t="s">
        <v>147</v>
      </c>
      <c r="R13" s="10">
        <v>40000</v>
      </c>
      <c r="S13" s="11">
        <f t="shared" si="1"/>
        <v>80000</v>
      </c>
      <c r="T13" s="10">
        <v>0</v>
      </c>
      <c r="U13" s="12"/>
      <c r="V13" s="11">
        <f t="shared" si="2"/>
        <v>80000</v>
      </c>
      <c r="W13" s="13" t="s">
        <v>148</v>
      </c>
      <c r="X13" s="15"/>
      <c r="Y13" s="15"/>
      <c r="Z13" s="16" t="b">
        <v>0</v>
      </c>
    </row>
    <row r="14" spans="1:26" ht="45" hidden="1">
      <c r="A14" s="3">
        <v>13</v>
      </c>
      <c r="B14" s="3" t="s">
        <v>149</v>
      </c>
      <c r="C14" s="3" t="s">
        <v>150</v>
      </c>
      <c r="D14" s="4" t="s">
        <v>151</v>
      </c>
      <c r="E14" s="5" t="s">
        <v>152</v>
      </c>
      <c r="F14" s="3" t="s">
        <v>142</v>
      </c>
      <c r="G14" s="4" t="s">
        <v>143</v>
      </c>
      <c r="H14" s="4" t="s">
        <v>44</v>
      </c>
      <c r="I14" s="4" t="s">
        <v>153</v>
      </c>
      <c r="J14" s="4" t="s">
        <v>34</v>
      </c>
      <c r="K14" s="6">
        <v>5</v>
      </c>
      <c r="L14" s="6">
        <v>3</v>
      </c>
      <c r="M14" s="7">
        <v>65</v>
      </c>
      <c r="N14" s="8" t="s">
        <v>154</v>
      </c>
      <c r="O14" s="9">
        <f t="shared" si="0"/>
        <v>1</v>
      </c>
      <c r="P14" s="3" t="s">
        <v>155</v>
      </c>
      <c r="Q14" s="3" t="s">
        <v>156</v>
      </c>
      <c r="R14" s="10">
        <v>40000</v>
      </c>
      <c r="S14" s="11">
        <f t="shared" si="1"/>
        <v>40000</v>
      </c>
      <c r="T14" s="10">
        <v>0</v>
      </c>
      <c r="U14" s="12"/>
      <c r="V14" s="11">
        <f t="shared" si="2"/>
        <v>40000</v>
      </c>
      <c r="W14" s="13"/>
      <c r="X14" s="15"/>
      <c r="Y14" s="15"/>
      <c r="Z14" s="16" t="b">
        <v>0</v>
      </c>
    </row>
    <row r="15" spans="1:26" ht="45" hidden="1">
      <c r="A15" s="3">
        <v>14</v>
      </c>
      <c r="B15" s="3" t="s">
        <v>157</v>
      </c>
      <c r="C15" s="3" t="s">
        <v>158</v>
      </c>
      <c r="D15" s="4" t="s">
        <v>159</v>
      </c>
      <c r="E15" s="5" t="s">
        <v>160</v>
      </c>
      <c r="F15" s="3" t="s">
        <v>142</v>
      </c>
      <c r="G15" s="4" t="s">
        <v>143</v>
      </c>
      <c r="H15" s="4" t="s">
        <v>55</v>
      </c>
      <c r="I15" s="4" t="s">
        <v>161</v>
      </c>
      <c r="J15" s="4" t="s">
        <v>34</v>
      </c>
      <c r="K15" s="6">
        <v>4</v>
      </c>
      <c r="L15" s="6">
        <v>3</v>
      </c>
      <c r="M15" s="7">
        <v>65</v>
      </c>
      <c r="N15" s="8" t="s">
        <v>162</v>
      </c>
      <c r="O15" s="9">
        <f t="shared" si="0"/>
        <v>1</v>
      </c>
      <c r="P15" s="3" t="s">
        <v>163</v>
      </c>
      <c r="Q15" s="3" t="s">
        <v>164</v>
      </c>
      <c r="R15" s="10">
        <v>40000</v>
      </c>
      <c r="S15" s="11">
        <f t="shared" si="1"/>
        <v>40000</v>
      </c>
      <c r="T15" s="10">
        <v>0</v>
      </c>
      <c r="U15" s="12"/>
      <c r="V15" s="11">
        <f t="shared" si="2"/>
        <v>40000</v>
      </c>
      <c r="W15" s="13"/>
      <c r="X15" s="15"/>
      <c r="Y15" s="15"/>
      <c r="Z15" s="16" t="b">
        <v>0</v>
      </c>
    </row>
    <row r="16" spans="1:26" ht="45">
      <c r="A16" s="3">
        <v>15</v>
      </c>
      <c r="B16" s="3" t="s">
        <v>165</v>
      </c>
      <c r="C16" s="3" t="s">
        <v>166</v>
      </c>
      <c r="D16" s="4" t="s">
        <v>167</v>
      </c>
      <c r="E16" s="17" t="s">
        <v>168</v>
      </c>
      <c r="F16" s="3" t="s">
        <v>30</v>
      </c>
      <c r="G16" s="4" t="s">
        <v>169</v>
      </c>
      <c r="H16" s="4" t="s">
        <v>32</v>
      </c>
      <c r="I16" s="4" t="s">
        <v>170</v>
      </c>
      <c r="J16" s="4" t="s">
        <v>34</v>
      </c>
      <c r="K16" s="6">
        <v>5</v>
      </c>
      <c r="L16" s="6">
        <v>3</v>
      </c>
      <c r="M16" s="7">
        <v>40</v>
      </c>
      <c r="N16" s="8" t="s">
        <v>171</v>
      </c>
      <c r="O16" s="9">
        <f t="shared" si="0"/>
        <v>2</v>
      </c>
      <c r="P16" s="3" t="s">
        <v>172</v>
      </c>
      <c r="Q16" s="3" t="s">
        <v>173</v>
      </c>
      <c r="R16" s="10">
        <v>40000</v>
      </c>
      <c r="S16" s="11">
        <f t="shared" si="1"/>
        <v>80000</v>
      </c>
      <c r="T16" s="10">
        <v>0</v>
      </c>
      <c r="U16" s="12"/>
      <c r="V16" s="11">
        <f t="shared" si="2"/>
        <v>80000</v>
      </c>
      <c r="W16" s="13" t="s">
        <v>174</v>
      </c>
      <c r="X16" s="15"/>
      <c r="Y16" s="15"/>
      <c r="Z16" s="16" t="b">
        <v>0</v>
      </c>
    </row>
    <row r="17" spans="1:26" ht="45">
      <c r="A17" s="3">
        <v>16</v>
      </c>
      <c r="B17" s="3" t="s">
        <v>175</v>
      </c>
      <c r="C17" s="3" t="s">
        <v>176</v>
      </c>
      <c r="D17" s="4" t="s">
        <v>177</v>
      </c>
      <c r="E17" s="17" t="s">
        <v>178</v>
      </c>
      <c r="F17" s="3" t="s">
        <v>30</v>
      </c>
      <c r="G17" s="4" t="s">
        <v>179</v>
      </c>
      <c r="H17" s="4" t="s">
        <v>44</v>
      </c>
      <c r="I17" s="4" t="s">
        <v>180</v>
      </c>
      <c r="J17" s="4" t="s">
        <v>34</v>
      </c>
      <c r="K17" s="6">
        <v>5</v>
      </c>
      <c r="L17" s="6">
        <v>3</v>
      </c>
      <c r="M17" s="7">
        <v>40</v>
      </c>
      <c r="N17" s="8" t="s">
        <v>181</v>
      </c>
      <c r="O17" s="9">
        <f t="shared" si="0"/>
        <v>2</v>
      </c>
      <c r="P17" s="3" t="s">
        <v>182</v>
      </c>
      <c r="Q17" s="3" t="s">
        <v>183</v>
      </c>
      <c r="R17" s="10">
        <v>40000</v>
      </c>
      <c r="S17" s="11">
        <f t="shared" si="1"/>
        <v>80000</v>
      </c>
      <c r="T17" s="10">
        <v>0</v>
      </c>
      <c r="U17" s="12"/>
      <c r="V17" s="11">
        <f t="shared" si="2"/>
        <v>80000</v>
      </c>
      <c r="W17" s="13"/>
      <c r="X17" s="15"/>
      <c r="Y17" s="15"/>
      <c r="Z17" s="16" t="b">
        <v>0</v>
      </c>
    </row>
    <row r="18" spans="1:26" ht="45">
      <c r="A18" s="3">
        <v>17</v>
      </c>
      <c r="B18" s="3" t="s">
        <v>184</v>
      </c>
      <c r="C18" s="3" t="s">
        <v>185</v>
      </c>
      <c r="D18" s="4" t="s">
        <v>186</v>
      </c>
      <c r="E18" s="17" t="s">
        <v>187</v>
      </c>
      <c r="F18" s="3" t="s">
        <v>30</v>
      </c>
      <c r="G18" s="4" t="s">
        <v>188</v>
      </c>
      <c r="H18" s="4" t="s">
        <v>55</v>
      </c>
      <c r="I18" s="4" t="s">
        <v>189</v>
      </c>
      <c r="J18" s="4" t="s">
        <v>34</v>
      </c>
      <c r="K18" s="6">
        <v>5</v>
      </c>
      <c r="L18" s="6">
        <v>4</v>
      </c>
      <c r="M18" s="7">
        <v>50</v>
      </c>
      <c r="N18" s="8" t="s">
        <v>190</v>
      </c>
      <c r="O18" s="9">
        <f t="shared" si="0"/>
        <v>2</v>
      </c>
      <c r="P18" s="3" t="s">
        <v>191</v>
      </c>
      <c r="Q18" s="3" t="s">
        <v>192</v>
      </c>
      <c r="R18" s="10">
        <v>40000</v>
      </c>
      <c r="S18" s="11">
        <f t="shared" si="1"/>
        <v>80000</v>
      </c>
      <c r="T18" s="10">
        <v>0</v>
      </c>
      <c r="U18" s="12"/>
      <c r="V18" s="11">
        <f t="shared" si="2"/>
        <v>80000</v>
      </c>
      <c r="W18" s="13" t="s">
        <v>193</v>
      </c>
      <c r="X18" s="15"/>
      <c r="Y18" s="15"/>
      <c r="Z18" s="16" t="b">
        <v>0</v>
      </c>
    </row>
    <row r="19" spans="1:26" ht="45">
      <c r="A19" s="3">
        <v>18</v>
      </c>
      <c r="B19" s="3" t="s">
        <v>194</v>
      </c>
      <c r="C19" s="3" t="s">
        <v>195</v>
      </c>
      <c r="D19" s="4" t="s">
        <v>196</v>
      </c>
      <c r="E19" s="17" t="s">
        <v>197</v>
      </c>
      <c r="F19" s="3" t="s">
        <v>113</v>
      </c>
      <c r="G19" s="4" t="s">
        <v>198</v>
      </c>
      <c r="H19" s="4" t="s">
        <v>32</v>
      </c>
      <c r="I19" s="4" t="s">
        <v>199</v>
      </c>
      <c r="J19" s="4" t="s">
        <v>34</v>
      </c>
      <c r="K19" s="6">
        <v>5</v>
      </c>
      <c r="L19" s="6">
        <v>4</v>
      </c>
      <c r="M19" s="7">
        <v>30</v>
      </c>
      <c r="N19" s="8" t="s">
        <v>200</v>
      </c>
      <c r="O19" s="9">
        <f t="shared" si="0"/>
        <v>3</v>
      </c>
      <c r="P19" s="3" t="s">
        <v>201</v>
      </c>
      <c r="Q19" s="3" t="s">
        <v>202</v>
      </c>
      <c r="R19" s="10">
        <v>40000</v>
      </c>
      <c r="S19" s="11">
        <f t="shared" si="1"/>
        <v>120000</v>
      </c>
      <c r="T19" s="10">
        <v>0</v>
      </c>
      <c r="U19" s="12"/>
      <c r="V19" s="11">
        <f t="shared" si="2"/>
        <v>120000</v>
      </c>
      <c r="W19" s="13" t="s">
        <v>203</v>
      </c>
      <c r="X19" s="15"/>
      <c r="Y19" s="15"/>
      <c r="Z19" s="16" t="b">
        <v>0</v>
      </c>
    </row>
    <row r="20" spans="1:26" ht="45">
      <c r="A20" s="3">
        <v>19</v>
      </c>
      <c r="B20" s="3" t="s">
        <v>204</v>
      </c>
      <c r="C20" s="3" t="s">
        <v>205</v>
      </c>
      <c r="D20" s="4" t="s">
        <v>206</v>
      </c>
      <c r="E20" s="17" t="s">
        <v>207</v>
      </c>
      <c r="F20" s="3" t="s">
        <v>113</v>
      </c>
      <c r="G20" s="4" t="s">
        <v>198</v>
      </c>
      <c r="H20" s="4" t="s">
        <v>44</v>
      </c>
      <c r="I20" s="4" t="s">
        <v>208</v>
      </c>
      <c r="J20" s="4" t="s">
        <v>34</v>
      </c>
      <c r="K20" s="6">
        <v>5</v>
      </c>
      <c r="L20" s="6">
        <v>4</v>
      </c>
      <c r="M20" s="7">
        <v>40</v>
      </c>
      <c r="N20" s="8" t="s">
        <v>209</v>
      </c>
      <c r="O20" s="9">
        <f t="shared" si="0"/>
        <v>2.5</v>
      </c>
      <c r="P20" s="3" t="s">
        <v>210</v>
      </c>
      <c r="Q20" s="3" t="s">
        <v>211</v>
      </c>
      <c r="R20" s="10">
        <v>40000</v>
      </c>
      <c r="S20" s="11">
        <f t="shared" si="1"/>
        <v>100000</v>
      </c>
      <c r="T20" s="10">
        <v>0</v>
      </c>
      <c r="U20" s="12"/>
      <c r="V20" s="11">
        <f t="shared" si="2"/>
        <v>100000</v>
      </c>
      <c r="W20" s="13"/>
      <c r="X20" s="15"/>
      <c r="Y20" s="15"/>
      <c r="Z20" s="16" t="b">
        <v>0</v>
      </c>
    </row>
    <row r="21" spans="1:26" ht="45">
      <c r="A21" s="3">
        <v>20</v>
      </c>
      <c r="B21" s="3" t="s">
        <v>212</v>
      </c>
      <c r="C21" s="3" t="s">
        <v>213</v>
      </c>
      <c r="D21" s="4" t="s">
        <v>214</v>
      </c>
      <c r="E21" s="17" t="s">
        <v>215</v>
      </c>
      <c r="F21" s="3" t="s">
        <v>113</v>
      </c>
      <c r="G21" s="4" t="s">
        <v>198</v>
      </c>
      <c r="H21" s="4" t="s">
        <v>55</v>
      </c>
      <c r="I21" s="4" t="s">
        <v>216</v>
      </c>
      <c r="J21" s="4" t="s">
        <v>34</v>
      </c>
      <c r="K21" s="6">
        <v>4</v>
      </c>
      <c r="L21" s="6">
        <v>3</v>
      </c>
      <c r="M21" s="7">
        <v>40</v>
      </c>
      <c r="N21" s="8" t="s">
        <v>217</v>
      </c>
      <c r="O21" s="9">
        <f t="shared" si="0"/>
        <v>2</v>
      </c>
      <c r="P21" s="3" t="s">
        <v>218</v>
      </c>
      <c r="Q21" s="3" t="s">
        <v>219</v>
      </c>
      <c r="R21" s="10">
        <v>40000</v>
      </c>
      <c r="S21" s="11">
        <f t="shared" si="1"/>
        <v>80000</v>
      </c>
      <c r="T21" s="10">
        <v>0</v>
      </c>
      <c r="U21" s="12"/>
      <c r="V21" s="11">
        <f t="shared" si="2"/>
        <v>80000</v>
      </c>
      <c r="W21" s="13"/>
      <c r="X21" s="15"/>
      <c r="Y21" s="15"/>
      <c r="Z21" s="16" t="b">
        <v>0</v>
      </c>
    </row>
    <row r="22" spans="1:26" ht="45">
      <c r="A22" s="3">
        <v>21</v>
      </c>
      <c r="B22" s="3" t="s">
        <v>220</v>
      </c>
      <c r="C22" s="3" t="s">
        <v>221</v>
      </c>
      <c r="D22" s="4" t="s">
        <v>222</v>
      </c>
      <c r="E22" s="17" t="s">
        <v>223</v>
      </c>
      <c r="F22" s="3" t="s">
        <v>142</v>
      </c>
      <c r="G22" s="4" t="s">
        <v>224</v>
      </c>
      <c r="H22" s="4" t="s">
        <v>32</v>
      </c>
      <c r="I22" s="4" t="s">
        <v>225</v>
      </c>
      <c r="J22" s="4" t="s">
        <v>34</v>
      </c>
      <c r="K22" s="6">
        <v>4</v>
      </c>
      <c r="L22" s="6">
        <v>3</v>
      </c>
      <c r="M22" s="7">
        <v>50</v>
      </c>
      <c r="N22" s="8" t="s">
        <v>226</v>
      </c>
      <c r="O22" s="9">
        <f t="shared" si="0"/>
        <v>1.5</v>
      </c>
      <c r="P22" s="3" t="s">
        <v>227</v>
      </c>
      <c r="Q22" s="3" t="s">
        <v>228</v>
      </c>
      <c r="R22" s="10">
        <v>40000</v>
      </c>
      <c r="S22" s="11">
        <f t="shared" si="1"/>
        <v>60000</v>
      </c>
      <c r="T22" s="10">
        <v>0</v>
      </c>
      <c r="U22" s="12"/>
      <c r="V22" s="11">
        <f t="shared" si="2"/>
        <v>60000</v>
      </c>
      <c r="W22" s="13"/>
      <c r="X22" s="15"/>
      <c r="Y22" s="15"/>
      <c r="Z22" s="16" t="b">
        <v>0</v>
      </c>
    </row>
    <row r="23" spans="1:26" ht="45">
      <c r="A23" s="3">
        <v>22</v>
      </c>
      <c r="B23" s="3" t="s">
        <v>229</v>
      </c>
      <c r="C23" s="3" t="s">
        <v>230</v>
      </c>
      <c r="D23" s="4" t="s">
        <v>231</v>
      </c>
      <c r="E23" s="17" t="s">
        <v>232</v>
      </c>
      <c r="F23" s="3" t="s">
        <v>142</v>
      </c>
      <c r="G23" s="4" t="s">
        <v>233</v>
      </c>
      <c r="H23" s="4" t="s">
        <v>44</v>
      </c>
      <c r="I23" s="4" t="s">
        <v>234</v>
      </c>
      <c r="J23" s="4" t="s">
        <v>34</v>
      </c>
      <c r="K23" s="6">
        <v>4</v>
      </c>
      <c r="L23" s="6">
        <v>3</v>
      </c>
      <c r="M23" s="7">
        <v>50</v>
      </c>
      <c r="N23" s="8" t="s">
        <v>235</v>
      </c>
      <c r="O23" s="9">
        <f t="shared" si="0"/>
        <v>1.5</v>
      </c>
      <c r="P23" s="3" t="s">
        <v>236</v>
      </c>
      <c r="Q23" s="3" t="s">
        <v>237</v>
      </c>
      <c r="R23" s="10">
        <v>40000</v>
      </c>
      <c r="S23" s="11">
        <f t="shared" si="1"/>
        <v>60000</v>
      </c>
      <c r="T23" s="10">
        <v>0</v>
      </c>
      <c r="U23" s="12"/>
      <c r="V23" s="11">
        <f t="shared" si="2"/>
        <v>60000</v>
      </c>
      <c r="W23" s="13"/>
      <c r="X23" s="15"/>
      <c r="Y23" s="15"/>
      <c r="Z23" s="16" t="b">
        <v>0</v>
      </c>
    </row>
    <row r="24" spans="1:26" ht="45">
      <c r="A24" s="3">
        <v>23</v>
      </c>
      <c r="B24" s="3" t="s">
        <v>238</v>
      </c>
      <c r="C24" s="3" t="s">
        <v>239</v>
      </c>
      <c r="D24" s="4" t="s">
        <v>240</v>
      </c>
      <c r="E24" s="17" t="s">
        <v>241</v>
      </c>
      <c r="F24" s="3" t="s">
        <v>142</v>
      </c>
      <c r="G24" s="4" t="s">
        <v>242</v>
      </c>
      <c r="H24" s="4" t="s">
        <v>55</v>
      </c>
      <c r="I24" s="4" t="s">
        <v>243</v>
      </c>
      <c r="J24" s="4" t="s">
        <v>34</v>
      </c>
      <c r="K24" s="6">
        <v>4</v>
      </c>
      <c r="L24" s="6">
        <v>3</v>
      </c>
      <c r="M24" s="7">
        <v>60</v>
      </c>
      <c r="N24" s="8" t="s">
        <v>244</v>
      </c>
      <c r="O24" s="9">
        <f t="shared" si="0"/>
        <v>1</v>
      </c>
      <c r="P24" s="3" t="s">
        <v>245</v>
      </c>
      <c r="Q24" s="3" t="s">
        <v>246</v>
      </c>
      <c r="R24" s="10">
        <v>40000</v>
      </c>
      <c r="S24" s="11">
        <f t="shared" si="1"/>
        <v>40000</v>
      </c>
      <c r="T24" s="10">
        <v>0</v>
      </c>
      <c r="U24" s="12"/>
      <c r="V24" s="11">
        <f t="shared" si="2"/>
        <v>40000</v>
      </c>
      <c r="W24" s="13"/>
      <c r="X24" s="15"/>
      <c r="Y24" s="15"/>
      <c r="Z24" s="16" t="b">
        <v>0</v>
      </c>
    </row>
    <row r="25" spans="1:26" ht="45" hidden="1">
      <c r="A25" s="3">
        <v>24</v>
      </c>
      <c r="B25" s="3" t="s">
        <v>247</v>
      </c>
      <c r="C25" s="3" t="s">
        <v>248</v>
      </c>
      <c r="D25" s="4" t="s">
        <v>249</v>
      </c>
      <c r="E25" s="18" t="s">
        <v>250</v>
      </c>
      <c r="F25" s="3" t="s">
        <v>30</v>
      </c>
      <c r="G25" s="4" t="s">
        <v>251</v>
      </c>
      <c r="H25" s="4" t="s">
        <v>32</v>
      </c>
      <c r="I25" s="3" t="s">
        <v>252</v>
      </c>
      <c r="J25" s="4" t="s">
        <v>34</v>
      </c>
      <c r="K25" s="6">
        <v>5</v>
      </c>
      <c r="L25" s="6">
        <v>4</v>
      </c>
      <c r="M25" s="7">
        <v>70</v>
      </c>
      <c r="N25" s="8" t="s">
        <v>253</v>
      </c>
      <c r="O25" s="9">
        <f t="shared" si="0"/>
        <v>1</v>
      </c>
      <c r="P25" s="3" t="s">
        <v>254</v>
      </c>
      <c r="Q25" s="3" t="s">
        <v>255</v>
      </c>
      <c r="R25" s="10">
        <v>40000</v>
      </c>
      <c r="S25" s="11">
        <f t="shared" si="1"/>
        <v>40000</v>
      </c>
      <c r="T25" s="10">
        <v>0</v>
      </c>
      <c r="U25" s="12"/>
      <c r="V25" s="11">
        <f t="shared" si="2"/>
        <v>40000</v>
      </c>
      <c r="W25" s="19" t="s">
        <v>256</v>
      </c>
      <c r="X25" s="15"/>
      <c r="Y25" s="15"/>
      <c r="Z25" s="16" t="b">
        <v>0</v>
      </c>
    </row>
    <row r="26" spans="1:26" ht="45" hidden="1">
      <c r="A26" s="3">
        <v>25</v>
      </c>
      <c r="B26" s="3" t="s">
        <v>257</v>
      </c>
      <c r="C26" s="3" t="s">
        <v>258</v>
      </c>
      <c r="D26" s="4" t="s">
        <v>259</v>
      </c>
      <c r="E26" s="18" t="s">
        <v>260</v>
      </c>
      <c r="F26" s="3" t="s">
        <v>30</v>
      </c>
      <c r="G26" s="4" t="s">
        <v>261</v>
      </c>
      <c r="H26" s="4" t="s">
        <v>44</v>
      </c>
      <c r="I26" s="4" t="s">
        <v>262</v>
      </c>
      <c r="J26" s="4" t="s">
        <v>34</v>
      </c>
      <c r="K26" s="6">
        <v>5</v>
      </c>
      <c r="L26" s="6">
        <v>4</v>
      </c>
      <c r="M26" s="7">
        <v>65</v>
      </c>
      <c r="N26" s="8" t="s">
        <v>263</v>
      </c>
      <c r="O26" s="9">
        <f t="shared" si="0"/>
        <v>1.5</v>
      </c>
      <c r="P26" s="3" t="s">
        <v>264</v>
      </c>
      <c r="Q26" s="3" t="s">
        <v>265</v>
      </c>
      <c r="R26" s="10">
        <v>40000</v>
      </c>
      <c r="S26" s="11">
        <f t="shared" si="1"/>
        <v>60000</v>
      </c>
      <c r="T26" s="10">
        <v>0</v>
      </c>
      <c r="U26" s="12"/>
      <c r="V26" s="11">
        <f t="shared" si="2"/>
        <v>60000</v>
      </c>
      <c r="W26" s="13"/>
      <c r="X26" s="15"/>
      <c r="Y26" s="15"/>
      <c r="Z26" s="16" t="b">
        <v>0</v>
      </c>
    </row>
    <row r="27" spans="1:26" ht="45" hidden="1">
      <c r="A27" s="3">
        <v>26</v>
      </c>
      <c r="B27" s="3" t="s">
        <v>266</v>
      </c>
      <c r="C27" s="3" t="s">
        <v>267</v>
      </c>
      <c r="D27" s="4" t="s">
        <v>268</v>
      </c>
      <c r="E27" s="18" t="s">
        <v>269</v>
      </c>
      <c r="F27" s="3" t="s">
        <v>30</v>
      </c>
      <c r="G27" s="4" t="s">
        <v>270</v>
      </c>
      <c r="H27" s="4" t="s">
        <v>55</v>
      </c>
      <c r="I27" s="4" t="s">
        <v>271</v>
      </c>
      <c r="J27" s="4" t="s">
        <v>34</v>
      </c>
      <c r="K27" s="6">
        <v>4</v>
      </c>
      <c r="L27" s="6">
        <v>3</v>
      </c>
      <c r="M27" s="7">
        <v>65</v>
      </c>
      <c r="N27" s="8" t="s">
        <v>272</v>
      </c>
      <c r="O27" s="9">
        <f t="shared" si="0"/>
        <v>1</v>
      </c>
      <c r="P27" s="3" t="s">
        <v>273</v>
      </c>
      <c r="Q27" s="3" t="s">
        <v>274</v>
      </c>
      <c r="R27" s="10">
        <v>40000</v>
      </c>
      <c r="S27" s="11">
        <f t="shared" si="1"/>
        <v>40000</v>
      </c>
      <c r="T27" s="10">
        <v>0</v>
      </c>
      <c r="U27" s="12"/>
      <c r="V27" s="11">
        <f t="shared" si="2"/>
        <v>40000</v>
      </c>
      <c r="W27" s="13"/>
      <c r="X27" s="15"/>
      <c r="Y27" s="15"/>
      <c r="Z27" s="16" t="b">
        <v>0</v>
      </c>
    </row>
    <row r="28" spans="1:26" ht="45" hidden="1">
      <c r="A28" s="3">
        <v>27</v>
      </c>
      <c r="B28" s="3" t="s">
        <v>275</v>
      </c>
      <c r="C28" s="3" t="s">
        <v>276</v>
      </c>
      <c r="D28" s="4" t="s">
        <v>277</v>
      </c>
      <c r="E28" s="18" t="s">
        <v>278</v>
      </c>
      <c r="F28" s="3" t="s">
        <v>30</v>
      </c>
      <c r="G28" s="4" t="s">
        <v>279</v>
      </c>
      <c r="H28" s="4" t="s">
        <v>94</v>
      </c>
      <c r="I28" s="4" t="s">
        <v>280</v>
      </c>
      <c r="J28" s="4" t="s">
        <v>34</v>
      </c>
      <c r="K28" s="6">
        <v>3</v>
      </c>
      <c r="L28" s="6">
        <v>2</v>
      </c>
      <c r="M28" s="7">
        <v>60</v>
      </c>
      <c r="N28" s="8" t="s">
        <v>281</v>
      </c>
      <c r="O28" s="9">
        <f t="shared" si="0"/>
        <v>1</v>
      </c>
      <c r="P28" s="3" t="s">
        <v>282</v>
      </c>
      <c r="Q28" s="3" t="s">
        <v>283</v>
      </c>
      <c r="R28" s="10">
        <v>40000</v>
      </c>
      <c r="S28" s="11">
        <f t="shared" si="1"/>
        <v>40000</v>
      </c>
      <c r="T28" s="10">
        <v>0</v>
      </c>
      <c r="U28" s="12"/>
      <c r="V28" s="11">
        <f t="shared" si="2"/>
        <v>40000</v>
      </c>
      <c r="W28" s="13"/>
      <c r="X28" s="15"/>
      <c r="Y28" s="15"/>
      <c r="Z28" s="16" t="b">
        <v>0</v>
      </c>
    </row>
    <row r="29" spans="1:26" ht="45" hidden="1">
      <c r="A29" s="3">
        <v>28</v>
      </c>
      <c r="B29" s="3" t="s">
        <v>284</v>
      </c>
      <c r="C29" s="3" t="s">
        <v>285</v>
      </c>
      <c r="D29" s="4" t="s">
        <v>286</v>
      </c>
      <c r="E29" s="18" t="s">
        <v>287</v>
      </c>
      <c r="F29" s="3" t="s">
        <v>113</v>
      </c>
      <c r="G29" s="4" t="s">
        <v>288</v>
      </c>
      <c r="H29" s="4" t="s">
        <v>32</v>
      </c>
      <c r="I29" s="4" t="s">
        <v>289</v>
      </c>
      <c r="J29" s="4" t="s">
        <v>34</v>
      </c>
      <c r="K29" s="6">
        <v>5</v>
      </c>
      <c r="L29" s="6">
        <v>4</v>
      </c>
      <c r="M29" s="7">
        <v>40</v>
      </c>
      <c r="N29" s="8" t="s">
        <v>290</v>
      </c>
      <c r="O29" s="9">
        <f t="shared" si="0"/>
        <v>2.5</v>
      </c>
      <c r="P29" s="3" t="s">
        <v>291</v>
      </c>
      <c r="Q29" s="3" t="s">
        <v>292</v>
      </c>
      <c r="R29" s="10">
        <v>40000</v>
      </c>
      <c r="S29" s="11">
        <f t="shared" si="1"/>
        <v>100000</v>
      </c>
      <c r="T29" s="10">
        <v>0</v>
      </c>
      <c r="U29" s="12"/>
      <c r="V29" s="11">
        <f t="shared" si="2"/>
        <v>100000</v>
      </c>
      <c r="W29" s="13" t="s">
        <v>293</v>
      </c>
      <c r="X29" s="15"/>
      <c r="Y29" s="15"/>
      <c r="Z29" s="16" t="b">
        <v>0</v>
      </c>
    </row>
    <row r="30" spans="1:26" ht="45" hidden="1">
      <c r="A30" s="3">
        <v>29</v>
      </c>
      <c r="B30" s="3" t="s">
        <v>294</v>
      </c>
      <c r="C30" s="3" t="s">
        <v>295</v>
      </c>
      <c r="D30" s="4" t="s">
        <v>296</v>
      </c>
      <c r="E30" s="18" t="s">
        <v>297</v>
      </c>
      <c r="F30" s="3" t="s">
        <v>113</v>
      </c>
      <c r="G30" s="4" t="s">
        <v>288</v>
      </c>
      <c r="H30" s="4" t="s">
        <v>44</v>
      </c>
      <c r="I30" s="4" t="s">
        <v>298</v>
      </c>
      <c r="J30" s="4" t="s">
        <v>34</v>
      </c>
      <c r="K30" s="6">
        <v>5</v>
      </c>
      <c r="L30" s="6">
        <v>4</v>
      </c>
      <c r="M30" s="7">
        <v>50</v>
      </c>
      <c r="N30" s="8" t="s">
        <v>299</v>
      </c>
      <c r="O30" s="9">
        <f t="shared" si="0"/>
        <v>2</v>
      </c>
      <c r="P30" s="3" t="s">
        <v>300</v>
      </c>
      <c r="Q30" s="3" t="s">
        <v>301</v>
      </c>
      <c r="R30" s="10">
        <v>40000</v>
      </c>
      <c r="S30" s="11">
        <f t="shared" si="1"/>
        <v>80000</v>
      </c>
      <c r="T30" s="10">
        <v>0</v>
      </c>
      <c r="U30" s="12"/>
      <c r="V30" s="11">
        <f t="shared" si="2"/>
        <v>80000</v>
      </c>
      <c r="W30" s="13"/>
      <c r="X30" s="15"/>
      <c r="Y30" s="15"/>
      <c r="Z30" s="16" t="b">
        <v>0</v>
      </c>
    </row>
    <row r="31" spans="1:26" ht="45" hidden="1">
      <c r="A31" s="3">
        <v>30</v>
      </c>
      <c r="B31" s="3" t="s">
        <v>302</v>
      </c>
      <c r="C31" s="3" t="s">
        <v>303</v>
      </c>
      <c r="D31" s="4" t="s">
        <v>304</v>
      </c>
      <c r="E31" s="18" t="s">
        <v>305</v>
      </c>
      <c r="F31" s="3" t="s">
        <v>113</v>
      </c>
      <c r="G31" s="4" t="s">
        <v>288</v>
      </c>
      <c r="H31" s="4" t="s">
        <v>55</v>
      </c>
      <c r="I31" s="4" t="s">
        <v>153</v>
      </c>
      <c r="J31" s="4" t="s">
        <v>34</v>
      </c>
      <c r="K31" s="6">
        <v>4</v>
      </c>
      <c r="L31" s="6">
        <v>3</v>
      </c>
      <c r="M31" s="7">
        <v>60</v>
      </c>
      <c r="N31" s="8" t="s">
        <v>306</v>
      </c>
      <c r="O31" s="9">
        <f t="shared" si="0"/>
        <v>1</v>
      </c>
      <c r="P31" s="3" t="s">
        <v>307</v>
      </c>
      <c r="Q31" s="3" t="s">
        <v>308</v>
      </c>
      <c r="R31" s="10">
        <v>40000</v>
      </c>
      <c r="S31" s="11">
        <f t="shared" si="1"/>
        <v>40000</v>
      </c>
      <c r="T31" s="10">
        <v>0</v>
      </c>
      <c r="U31" s="12"/>
      <c r="V31" s="11">
        <f t="shared" si="2"/>
        <v>40000</v>
      </c>
      <c r="W31" s="13"/>
      <c r="X31" s="15"/>
      <c r="Y31" s="15"/>
      <c r="Z31" s="16" t="b">
        <v>0</v>
      </c>
    </row>
    <row r="32" spans="1:26" ht="45" hidden="1">
      <c r="A32" s="3">
        <v>31</v>
      </c>
      <c r="B32" s="3" t="s">
        <v>309</v>
      </c>
      <c r="C32" s="3" t="s">
        <v>310</v>
      </c>
      <c r="D32" s="4" t="s">
        <v>311</v>
      </c>
      <c r="E32" s="18" t="s">
        <v>312</v>
      </c>
      <c r="F32" s="3" t="s">
        <v>142</v>
      </c>
      <c r="G32" s="4" t="s">
        <v>313</v>
      </c>
      <c r="H32" s="4" t="s">
        <v>32</v>
      </c>
      <c r="I32" s="3" t="s">
        <v>314</v>
      </c>
      <c r="J32" s="4" t="s">
        <v>34</v>
      </c>
      <c r="K32" s="6">
        <v>4</v>
      </c>
      <c r="L32" s="6">
        <v>3</v>
      </c>
      <c r="M32" s="7">
        <v>55</v>
      </c>
      <c r="N32" s="8" t="s">
        <v>315</v>
      </c>
      <c r="O32" s="9">
        <f t="shared" si="0"/>
        <v>1.5</v>
      </c>
      <c r="P32" s="3" t="s">
        <v>316</v>
      </c>
      <c r="Q32" s="3" t="s">
        <v>317</v>
      </c>
      <c r="R32" s="10">
        <v>40000</v>
      </c>
      <c r="S32" s="11">
        <f t="shared" si="1"/>
        <v>60000</v>
      </c>
      <c r="T32" s="10">
        <v>0</v>
      </c>
      <c r="U32" s="12"/>
      <c r="V32" s="11">
        <f t="shared" si="2"/>
        <v>60000</v>
      </c>
      <c r="W32" s="13"/>
      <c r="X32" s="15"/>
      <c r="Y32" s="15"/>
      <c r="Z32" s="16" t="b">
        <v>0</v>
      </c>
    </row>
    <row r="33" spans="1:26" ht="45" hidden="1">
      <c r="A33" s="3">
        <v>32</v>
      </c>
      <c r="B33" s="3" t="s">
        <v>318</v>
      </c>
      <c r="C33" s="3" t="s">
        <v>319</v>
      </c>
      <c r="D33" s="4" t="s">
        <v>320</v>
      </c>
      <c r="E33" s="18" t="s">
        <v>321</v>
      </c>
      <c r="F33" s="3" t="s">
        <v>142</v>
      </c>
      <c r="G33" s="4" t="s">
        <v>322</v>
      </c>
      <c r="H33" s="4" t="s">
        <v>44</v>
      </c>
      <c r="I33" s="3" t="s">
        <v>323</v>
      </c>
      <c r="J33" s="4" t="s">
        <v>34</v>
      </c>
      <c r="K33" s="6">
        <v>4</v>
      </c>
      <c r="L33" s="6">
        <v>3</v>
      </c>
      <c r="M33" s="7">
        <v>50</v>
      </c>
      <c r="N33" s="8" t="s">
        <v>324</v>
      </c>
      <c r="O33" s="9">
        <f t="shared" si="0"/>
        <v>1.5</v>
      </c>
      <c r="P33" s="3" t="s">
        <v>325</v>
      </c>
      <c r="Q33" s="3" t="s">
        <v>326</v>
      </c>
      <c r="R33" s="10">
        <v>40000</v>
      </c>
      <c r="S33" s="11">
        <f t="shared" si="1"/>
        <v>60000</v>
      </c>
      <c r="T33" s="10">
        <v>0</v>
      </c>
      <c r="U33" s="12"/>
      <c r="V33" s="11">
        <f t="shared" si="2"/>
        <v>60000</v>
      </c>
      <c r="W33" s="13"/>
      <c r="X33" s="15"/>
      <c r="Y33" s="15"/>
      <c r="Z33" s="16" t="b">
        <v>0</v>
      </c>
    </row>
    <row r="34" spans="1:26" ht="45" hidden="1">
      <c r="A34" s="3">
        <v>33</v>
      </c>
      <c r="B34" s="3" t="s">
        <v>327</v>
      </c>
      <c r="C34" s="3" t="s">
        <v>328</v>
      </c>
      <c r="D34" s="4" t="s">
        <v>329</v>
      </c>
      <c r="E34" s="18" t="s">
        <v>330</v>
      </c>
      <c r="F34" s="3" t="s">
        <v>142</v>
      </c>
      <c r="G34" s="4" t="s">
        <v>331</v>
      </c>
      <c r="H34" s="4" t="s">
        <v>55</v>
      </c>
      <c r="I34" s="4" t="s">
        <v>332</v>
      </c>
      <c r="J34" s="4" t="s">
        <v>34</v>
      </c>
      <c r="K34" s="6">
        <v>3</v>
      </c>
      <c r="L34" s="6">
        <v>2</v>
      </c>
      <c r="M34" s="7">
        <v>65</v>
      </c>
      <c r="N34" s="8" t="s">
        <v>333</v>
      </c>
      <c r="O34" s="9">
        <f t="shared" si="0"/>
        <v>0.5</v>
      </c>
      <c r="P34" s="3" t="s">
        <v>334</v>
      </c>
      <c r="Q34" s="3" t="s">
        <v>335</v>
      </c>
      <c r="R34" s="10">
        <v>40000</v>
      </c>
      <c r="S34" s="11">
        <f t="shared" si="1"/>
        <v>20000</v>
      </c>
      <c r="T34" s="10">
        <v>0</v>
      </c>
      <c r="U34" s="12"/>
      <c r="V34" s="11">
        <f t="shared" si="2"/>
        <v>20000</v>
      </c>
      <c r="W34" s="13"/>
      <c r="X34" s="15"/>
      <c r="Y34" s="15"/>
      <c r="Z34" s="16" t="b">
        <v>0</v>
      </c>
    </row>
    <row r="35" spans="1:26" ht="45" hidden="1">
      <c r="A35" s="3">
        <v>34</v>
      </c>
      <c r="B35" s="3" t="s">
        <v>336</v>
      </c>
      <c r="C35" s="3" t="s">
        <v>337</v>
      </c>
      <c r="D35" s="4" t="s">
        <v>338</v>
      </c>
      <c r="E35" s="20" t="s">
        <v>339</v>
      </c>
      <c r="F35" s="3" t="s">
        <v>30</v>
      </c>
      <c r="G35" s="4" t="s">
        <v>340</v>
      </c>
      <c r="H35" s="4" t="s">
        <v>32</v>
      </c>
      <c r="I35" s="4" t="s">
        <v>341</v>
      </c>
      <c r="J35" s="4" t="s">
        <v>342</v>
      </c>
      <c r="K35" s="6">
        <v>5</v>
      </c>
      <c r="L35" s="6">
        <v>4</v>
      </c>
      <c r="M35" s="7">
        <v>30</v>
      </c>
      <c r="N35" s="8" t="s">
        <v>343</v>
      </c>
      <c r="O35" s="9">
        <f t="shared" si="0"/>
        <v>3</v>
      </c>
      <c r="P35" s="3" t="s">
        <v>344</v>
      </c>
      <c r="Q35" s="3" t="s">
        <v>345</v>
      </c>
      <c r="R35" s="10">
        <v>50000</v>
      </c>
      <c r="S35" s="11">
        <f t="shared" si="1"/>
        <v>150000</v>
      </c>
      <c r="T35" s="10">
        <v>30000</v>
      </c>
      <c r="U35" s="21" t="s">
        <v>346</v>
      </c>
      <c r="V35" s="11">
        <f t="shared" si="2"/>
        <v>180000</v>
      </c>
      <c r="W35" s="13" t="s">
        <v>347</v>
      </c>
      <c r="X35" s="15"/>
      <c r="Y35" s="15"/>
      <c r="Z35" s="16" t="b">
        <v>0</v>
      </c>
    </row>
    <row r="36" spans="1:26" ht="45" hidden="1">
      <c r="A36" s="3">
        <v>35</v>
      </c>
      <c r="B36" s="3" t="s">
        <v>348</v>
      </c>
      <c r="C36" s="3" t="s">
        <v>349</v>
      </c>
      <c r="D36" s="4" t="s">
        <v>350</v>
      </c>
      <c r="E36" s="20" t="s">
        <v>351</v>
      </c>
      <c r="F36" s="3" t="s">
        <v>30</v>
      </c>
      <c r="G36" s="4" t="s">
        <v>352</v>
      </c>
      <c r="H36" s="4" t="s">
        <v>44</v>
      </c>
      <c r="I36" s="4" t="s">
        <v>353</v>
      </c>
      <c r="J36" s="4" t="s">
        <v>354</v>
      </c>
      <c r="K36" s="6">
        <v>4</v>
      </c>
      <c r="L36" s="6">
        <v>1</v>
      </c>
      <c r="M36" s="7">
        <v>50</v>
      </c>
      <c r="N36" s="8" t="s">
        <v>355</v>
      </c>
      <c r="O36" s="9">
        <f t="shared" si="0"/>
        <v>0.5</v>
      </c>
      <c r="P36" s="3" t="s">
        <v>356</v>
      </c>
      <c r="Q36" s="3" t="s">
        <v>357</v>
      </c>
      <c r="R36" s="10">
        <v>50000</v>
      </c>
      <c r="S36" s="11">
        <f t="shared" si="1"/>
        <v>25000</v>
      </c>
      <c r="T36" s="10">
        <v>10000</v>
      </c>
      <c r="U36" s="21" t="s">
        <v>358</v>
      </c>
      <c r="V36" s="11">
        <f t="shared" si="2"/>
        <v>35000</v>
      </c>
      <c r="W36" s="13" t="s">
        <v>359</v>
      </c>
      <c r="X36" s="15"/>
      <c r="Y36" s="15"/>
      <c r="Z36" s="16" t="b">
        <v>0</v>
      </c>
    </row>
    <row r="37" spans="1:26" ht="45" hidden="1">
      <c r="A37" s="3">
        <v>36</v>
      </c>
      <c r="B37" s="3" t="s">
        <v>360</v>
      </c>
      <c r="C37" s="3" t="s">
        <v>361</v>
      </c>
      <c r="D37" s="4" t="s">
        <v>362</v>
      </c>
      <c r="E37" s="20" t="s">
        <v>363</v>
      </c>
      <c r="F37" s="3" t="s">
        <v>30</v>
      </c>
      <c r="G37" s="4" t="s">
        <v>364</v>
      </c>
      <c r="H37" s="4" t="s">
        <v>55</v>
      </c>
      <c r="I37" s="4" t="s">
        <v>365</v>
      </c>
      <c r="J37" s="4" t="s">
        <v>366</v>
      </c>
      <c r="K37" s="6">
        <v>4</v>
      </c>
      <c r="L37" s="6">
        <v>1</v>
      </c>
      <c r="M37" s="7">
        <v>50</v>
      </c>
      <c r="N37" s="8" t="s">
        <v>367</v>
      </c>
      <c r="O37" s="9">
        <f t="shared" si="0"/>
        <v>0.5</v>
      </c>
      <c r="P37" s="3" t="s">
        <v>368</v>
      </c>
      <c r="Q37" s="3" t="s">
        <v>369</v>
      </c>
      <c r="R37" s="10">
        <v>50000</v>
      </c>
      <c r="S37" s="11">
        <f t="shared" si="1"/>
        <v>25000</v>
      </c>
      <c r="T37" s="10">
        <v>10000</v>
      </c>
      <c r="U37" s="21" t="s">
        <v>370</v>
      </c>
      <c r="V37" s="11">
        <f t="shared" si="2"/>
        <v>35000</v>
      </c>
      <c r="W37" s="13" t="s">
        <v>371</v>
      </c>
      <c r="X37" s="15"/>
      <c r="Y37" s="15"/>
      <c r="Z37" s="16" t="b">
        <v>0</v>
      </c>
    </row>
    <row r="38" spans="1:26" ht="45" hidden="1">
      <c r="A38" s="3">
        <v>37</v>
      </c>
      <c r="B38" s="3" t="s">
        <v>372</v>
      </c>
      <c r="C38" s="3" t="s">
        <v>373</v>
      </c>
      <c r="D38" s="4" t="s">
        <v>374</v>
      </c>
      <c r="E38" s="20" t="s">
        <v>375</v>
      </c>
      <c r="F38" s="3" t="s">
        <v>113</v>
      </c>
      <c r="G38" s="3" t="s">
        <v>376</v>
      </c>
      <c r="H38" s="4" t="s">
        <v>32</v>
      </c>
      <c r="I38" s="3" t="s">
        <v>377</v>
      </c>
      <c r="J38" s="4" t="s">
        <v>378</v>
      </c>
      <c r="K38" s="6">
        <v>5</v>
      </c>
      <c r="L38" s="6">
        <v>3</v>
      </c>
      <c r="M38" s="7">
        <v>30</v>
      </c>
      <c r="N38" s="8" t="s">
        <v>379</v>
      </c>
      <c r="O38" s="9">
        <f t="shared" si="0"/>
        <v>2</v>
      </c>
      <c r="P38" s="3" t="s">
        <v>380</v>
      </c>
      <c r="Q38" s="3" t="s">
        <v>381</v>
      </c>
      <c r="R38" s="10">
        <v>50000</v>
      </c>
      <c r="S38" s="11">
        <f t="shared" si="1"/>
        <v>100000</v>
      </c>
      <c r="T38" s="10">
        <v>30000</v>
      </c>
      <c r="U38" s="21" t="s">
        <v>382</v>
      </c>
      <c r="V38" s="11">
        <f t="shared" si="2"/>
        <v>130000</v>
      </c>
      <c r="W38" s="13" t="s">
        <v>383</v>
      </c>
      <c r="X38" s="15"/>
      <c r="Y38" s="15"/>
      <c r="Z38" s="16" t="b">
        <v>0</v>
      </c>
    </row>
    <row r="39" spans="1:26" ht="45" hidden="1">
      <c r="A39" s="3">
        <v>38</v>
      </c>
      <c r="B39" s="3" t="s">
        <v>384</v>
      </c>
      <c r="C39" s="3" t="s">
        <v>385</v>
      </c>
      <c r="D39" s="4" t="s">
        <v>386</v>
      </c>
      <c r="E39" s="20" t="s">
        <v>387</v>
      </c>
      <c r="F39" s="3" t="s">
        <v>113</v>
      </c>
      <c r="G39" s="3" t="s">
        <v>388</v>
      </c>
      <c r="H39" s="4" t="s">
        <v>44</v>
      </c>
      <c r="I39" s="4" t="s">
        <v>389</v>
      </c>
      <c r="J39" s="4" t="s">
        <v>390</v>
      </c>
      <c r="K39" s="6">
        <v>4</v>
      </c>
      <c r="L39" s="6">
        <v>1</v>
      </c>
      <c r="M39" s="7">
        <v>50</v>
      </c>
      <c r="N39" s="8" t="s">
        <v>391</v>
      </c>
      <c r="O39" s="9">
        <f t="shared" si="0"/>
        <v>0.5</v>
      </c>
      <c r="P39" s="3" t="s">
        <v>392</v>
      </c>
      <c r="Q39" s="3" t="s">
        <v>393</v>
      </c>
      <c r="R39" s="10">
        <v>50000</v>
      </c>
      <c r="S39" s="11">
        <f t="shared" si="1"/>
        <v>25000</v>
      </c>
      <c r="T39" s="10">
        <v>10000</v>
      </c>
      <c r="U39" s="21" t="s">
        <v>394</v>
      </c>
      <c r="V39" s="11">
        <f t="shared" si="2"/>
        <v>35000</v>
      </c>
      <c r="W39" s="13" t="s">
        <v>395</v>
      </c>
      <c r="X39" s="15"/>
      <c r="Y39" s="15"/>
      <c r="Z39" s="16" t="b">
        <v>0</v>
      </c>
    </row>
    <row r="40" spans="1:26" ht="45" hidden="1">
      <c r="A40" s="3">
        <v>39</v>
      </c>
      <c r="B40" s="3" t="s">
        <v>396</v>
      </c>
      <c r="C40" s="3" t="s">
        <v>397</v>
      </c>
      <c r="D40" s="4" t="s">
        <v>398</v>
      </c>
      <c r="E40" s="20" t="s">
        <v>399</v>
      </c>
      <c r="F40" s="3" t="s">
        <v>113</v>
      </c>
      <c r="G40" s="3" t="s">
        <v>400</v>
      </c>
      <c r="H40" s="4" t="s">
        <v>55</v>
      </c>
      <c r="I40" s="4" t="s">
        <v>401</v>
      </c>
      <c r="J40" s="4" t="s">
        <v>402</v>
      </c>
      <c r="K40" s="6">
        <v>4</v>
      </c>
      <c r="L40" s="6">
        <v>1</v>
      </c>
      <c r="M40" s="7">
        <v>50</v>
      </c>
      <c r="N40" s="8" t="s">
        <v>403</v>
      </c>
      <c r="O40" s="9">
        <f t="shared" si="0"/>
        <v>0.5</v>
      </c>
      <c r="P40" s="3" t="s">
        <v>404</v>
      </c>
      <c r="Q40" s="3" t="s">
        <v>405</v>
      </c>
      <c r="R40" s="10">
        <v>50000</v>
      </c>
      <c r="S40" s="11">
        <f t="shared" si="1"/>
        <v>25000</v>
      </c>
      <c r="T40" s="10">
        <v>10000</v>
      </c>
      <c r="U40" s="21" t="s">
        <v>406</v>
      </c>
      <c r="V40" s="11">
        <f t="shared" si="2"/>
        <v>35000</v>
      </c>
      <c r="W40" s="13" t="s">
        <v>407</v>
      </c>
      <c r="X40" s="15"/>
      <c r="Y40" s="15"/>
      <c r="Z40" s="16" t="b">
        <v>0</v>
      </c>
    </row>
    <row r="41" spans="1:26" ht="15.75" hidden="1" customHeight="1">
      <c r="A41" s="3">
        <v>40</v>
      </c>
      <c r="B41" s="3" t="s">
        <v>408</v>
      </c>
      <c r="C41" s="3" t="s">
        <v>409</v>
      </c>
      <c r="D41" s="4" t="s">
        <v>410</v>
      </c>
      <c r="E41" s="20" t="s">
        <v>411</v>
      </c>
      <c r="F41" s="3" t="s">
        <v>142</v>
      </c>
      <c r="G41" s="4" t="s">
        <v>412</v>
      </c>
      <c r="H41" s="4" t="s">
        <v>32</v>
      </c>
      <c r="I41" s="4" t="s">
        <v>413</v>
      </c>
      <c r="J41" s="4" t="s">
        <v>414</v>
      </c>
      <c r="K41" s="6">
        <v>4</v>
      </c>
      <c r="L41" s="6">
        <v>3</v>
      </c>
      <c r="M41" s="7">
        <v>30</v>
      </c>
      <c r="N41" s="8" t="s">
        <v>415</v>
      </c>
      <c r="O41" s="9">
        <f t="shared" si="0"/>
        <v>2</v>
      </c>
      <c r="P41" s="3" t="s">
        <v>416</v>
      </c>
      <c r="Q41" s="3" t="s">
        <v>417</v>
      </c>
      <c r="R41" s="10">
        <v>50000</v>
      </c>
      <c r="S41" s="11">
        <f t="shared" si="1"/>
        <v>100000</v>
      </c>
      <c r="T41" s="10">
        <v>30000</v>
      </c>
      <c r="U41" s="21" t="s">
        <v>418</v>
      </c>
      <c r="V41" s="11">
        <f t="shared" si="2"/>
        <v>130000</v>
      </c>
      <c r="W41" s="13" t="s">
        <v>419</v>
      </c>
      <c r="X41" s="15"/>
      <c r="Y41" s="15"/>
      <c r="Z41" s="16" t="b">
        <v>0</v>
      </c>
    </row>
    <row r="42" spans="1:26" ht="15.75" hidden="1" customHeight="1">
      <c r="A42" s="3">
        <v>41</v>
      </c>
      <c r="B42" s="3" t="s">
        <v>420</v>
      </c>
      <c r="C42" s="3" t="s">
        <v>421</v>
      </c>
      <c r="D42" s="4" t="s">
        <v>422</v>
      </c>
      <c r="E42" s="20" t="s">
        <v>423</v>
      </c>
      <c r="F42" s="3" t="s">
        <v>142</v>
      </c>
      <c r="G42" s="4" t="s">
        <v>412</v>
      </c>
      <c r="H42" s="4" t="s">
        <v>44</v>
      </c>
      <c r="I42" s="4" t="s">
        <v>424</v>
      </c>
      <c r="J42" s="4" t="s">
        <v>425</v>
      </c>
      <c r="K42" s="6">
        <v>4</v>
      </c>
      <c r="L42" s="6">
        <v>1</v>
      </c>
      <c r="M42" s="7">
        <v>50</v>
      </c>
      <c r="N42" s="8" t="s">
        <v>426</v>
      </c>
      <c r="O42" s="9">
        <f t="shared" si="0"/>
        <v>0.5</v>
      </c>
      <c r="P42" s="3" t="s">
        <v>427</v>
      </c>
      <c r="Q42" s="3" t="s">
        <v>428</v>
      </c>
      <c r="R42" s="10">
        <v>50000</v>
      </c>
      <c r="S42" s="11">
        <f t="shared" si="1"/>
        <v>25000</v>
      </c>
      <c r="T42" s="10">
        <v>10000</v>
      </c>
      <c r="U42" s="21" t="s">
        <v>429</v>
      </c>
      <c r="V42" s="11">
        <f t="shared" si="2"/>
        <v>35000</v>
      </c>
      <c r="W42" s="13" t="s">
        <v>430</v>
      </c>
      <c r="X42" s="15"/>
      <c r="Y42" s="15"/>
      <c r="Z42" s="16" t="b">
        <v>0</v>
      </c>
    </row>
    <row r="43" spans="1:26" ht="15.75" hidden="1" customHeight="1">
      <c r="A43" s="3">
        <v>42</v>
      </c>
      <c r="B43" s="3" t="s">
        <v>431</v>
      </c>
      <c r="C43" s="3" t="s">
        <v>432</v>
      </c>
      <c r="D43" s="4" t="s">
        <v>433</v>
      </c>
      <c r="E43" s="20" t="s">
        <v>434</v>
      </c>
      <c r="F43" s="3" t="s">
        <v>142</v>
      </c>
      <c r="G43" s="4" t="s">
        <v>412</v>
      </c>
      <c r="H43" s="4" t="s">
        <v>55</v>
      </c>
      <c r="I43" s="4" t="s">
        <v>435</v>
      </c>
      <c r="J43" s="4" t="s">
        <v>436</v>
      </c>
      <c r="K43" s="6">
        <v>3</v>
      </c>
      <c r="L43" s="6">
        <v>1</v>
      </c>
      <c r="M43" s="7">
        <v>60</v>
      </c>
      <c r="N43" s="8" t="s">
        <v>437</v>
      </c>
      <c r="O43" s="9">
        <f t="shared" si="0"/>
        <v>0.5</v>
      </c>
      <c r="P43" s="3" t="s">
        <v>438</v>
      </c>
      <c r="Q43" s="3" t="s">
        <v>439</v>
      </c>
      <c r="R43" s="10">
        <v>50000</v>
      </c>
      <c r="S43" s="11">
        <f t="shared" si="1"/>
        <v>25000</v>
      </c>
      <c r="T43" s="10">
        <v>10000</v>
      </c>
      <c r="U43" s="21" t="s">
        <v>440</v>
      </c>
      <c r="V43" s="11">
        <f t="shared" si="2"/>
        <v>35000</v>
      </c>
      <c r="W43" s="13" t="s">
        <v>441</v>
      </c>
      <c r="X43" s="15"/>
      <c r="Y43" s="15"/>
      <c r="Z43" s="16" t="b">
        <v>0</v>
      </c>
    </row>
    <row r="44" spans="1:26" ht="15.75" hidden="1" customHeight="1">
      <c r="A44" s="3">
        <v>43</v>
      </c>
      <c r="B44" s="3" t="s">
        <v>442</v>
      </c>
      <c r="C44" s="3" t="s">
        <v>443</v>
      </c>
      <c r="D44" s="4" t="s">
        <v>444</v>
      </c>
      <c r="E44" s="20" t="s">
        <v>445</v>
      </c>
      <c r="F44" s="3" t="s">
        <v>142</v>
      </c>
      <c r="G44" s="4" t="s">
        <v>412</v>
      </c>
      <c r="H44" s="4" t="s">
        <v>94</v>
      </c>
      <c r="I44" s="4" t="s">
        <v>446</v>
      </c>
      <c r="J44" s="4" t="s">
        <v>447</v>
      </c>
      <c r="K44" s="6">
        <v>3</v>
      </c>
      <c r="L44" s="6">
        <v>1</v>
      </c>
      <c r="M44" s="7">
        <v>60</v>
      </c>
      <c r="N44" s="8" t="s">
        <v>448</v>
      </c>
      <c r="O44" s="9">
        <f t="shared" si="0"/>
        <v>0.5</v>
      </c>
      <c r="P44" s="3" t="s">
        <v>449</v>
      </c>
      <c r="Q44" s="3" t="s">
        <v>450</v>
      </c>
      <c r="R44" s="10">
        <v>50000</v>
      </c>
      <c r="S44" s="11">
        <f t="shared" si="1"/>
        <v>25000</v>
      </c>
      <c r="T44" s="10">
        <v>10000</v>
      </c>
      <c r="U44" s="21" t="s">
        <v>451</v>
      </c>
      <c r="V44" s="11">
        <f t="shared" si="2"/>
        <v>35000</v>
      </c>
      <c r="W44" s="13" t="s">
        <v>441</v>
      </c>
      <c r="X44" s="15"/>
      <c r="Y44" s="15"/>
      <c r="Z44" s="16" t="b">
        <v>0</v>
      </c>
    </row>
    <row r="45" spans="1:26" ht="15.75" hidden="1" customHeight="1">
      <c r="A45" s="3">
        <v>44</v>
      </c>
      <c r="B45" s="3" t="s">
        <v>452</v>
      </c>
      <c r="C45" s="3" t="s">
        <v>453</v>
      </c>
      <c r="D45" s="4" t="s">
        <v>454</v>
      </c>
      <c r="E45" s="20" t="s">
        <v>455</v>
      </c>
      <c r="F45" s="3" t="s">
        <v>142</v>
      </c>
      <c r="G45" s="4" t="s">
        <v>412</v>
      </c>
      <c r="H45" s="4" t="s">
        <v>456</v>
      </c>
      <c r="I45" s="4" t="s">
        <v>457</v>
      </c>
      <c r="J45" s="4" t="s">
        <v>458</v>
      </c>
      <c r="K45" s="6">
        <v>4</v>
      </c>
      <c r="L45" s="6">
        <v>1</v>
      </c>
      <c r="M45" s="7">
        <v>50</v>
      </c>
      <c r="N45" s="8" t="s">
        <v>459</v>
      </c>
      <c r="O45" s="9">
        <f t="shared" si="0"/>
        <v>0.5</v>
      </c>
      <c r="P45" s="3" t="s">
        <v>460</v>
      </c>
      <c r="Q45" s="3" t="s">
        <v>461</v>
      </c>
      <c r="R45" s="10">
        <v>50000</v>
      </c>
      <c r="S45" s="11">
        <f t="shared" si="1"/>
        <v>25000</v>
      </c>
      <c r="T45" s="10">
        <v>10000</v>
      </c>
      <c r="U45" s="21" t="s">
        <v>462</v>
      </c>
      <c r="V45" s="11">
        <f t="shared" si="2"/>
        <v>35000</v>
      </c>
      <c r="W45" s="13" t="s">
        <v>463</v>
      </c>
      <c r="X45" s="15"/>
      <c r="Y45" s="15"/>
      <c r="Z45" s="16" t="b">
        <v>0</v>
      </c>
    </row>
    <row r="46" spans="1:26" ht="15.75" hidden="1" customHeight="1">
      <c r="A46" s="3" t="s">
        <v>464</v>
      </c>
      <c r="B46" s="3" t="s">
        <v>465</v>
      </c>
      <c r="C46" s="3" t="s">
        <v>466</v>
      </c>
      <c r="D46" s="4" t="s">
        <v>467</v>
      </c>
      <c r="E46" s="22" t="s">
        <v>468</v>
      </c>
      <c r="F46" s="23" t="s">
        <v>469</v>
      </c>
      <c r="G46" s="4" t="s">
        <v>470</v>
      </c>
      <c r="H46" s="23" t="s">
        <v>469</v>
      </c>
      <c r="I46" s="4" t="s">
        <v>471</v>
      </c>
      <c r="J46" s="4" t="s">
        <v>472</v>
      </c>
      <c r="K46" s="6">
        <v>5</v>
      </c>
      <c r="L46" s="6">
        <v>8</v>
      </c>
      <c r="M46" s="7">
        <v>60</v>
      </c>
      <c r="N46" s="8" t="s">
        <v>473</v>
      </c>
      <c r="O46" s="9">
        <f t="shared" si="0"/>
        <v>3</v>
      </c>
      <c r="P46" s="3" t="s">
        <v>474</v>
      </c>
      <c r="Q46" s="3" t="s">
        <v>475</v>
      </c>
      <c r="R46" s="10">
        <v>50000</v>
      </c>
      <c r="S46" s="11">
        <f t="shared" si="1"/>
        <v>150000</v>
      </c>
      <c r="T46" s="10">
        <v>0</v>
      </c>
      <c r="U46" s="3"/>
      <c r="V46" s="11">
        <f t="shared" si="2"/>
        <v>150000</v>
      </c>
      <c r="W46" s="13" t="s">
        <v>476</v>
      </c>
      <c r="X46" s="15"/>
      <c r="Y46" s="15"/>
      <c r="Z46" s="16" t="b">
        <v>0</v>
      </c>
    </row>
    <row r="47" spans="1:26" ht="15.75" hidden="1" customHeight="1">
      <c r="A47" s="3" t="s">
        <v>477</v>
      </c>
      <c r="B47" s="24"/>
      <c r="C47" s="24"/>
      <c r="D47" s="24"/>
      <c r="E47" s="25" t="s">
        <v>478</v>
      </c>
      <c r="F47" s="24"/>
      <c r="G47" s="24"/>
      <c r="H47" s="24"/>
      <c r="I47" s="3" t="s">
        <v>479</v>
      </c>
      <c r="J47" s="24"/>
      <c r="K47" s="24"/>
      <c r="L47" s="24"/>
      <c r="M47" s="24"/>
      <c r="N47" s="8" t="s">
        <v>480</v>
      </c>
      <c r="O47" s="24"/>
      <c r="P47" s="3" t="s">
        <v>481</v>
      </c>
      <c r="Q47" s="3" t="s">
        <v>482</v>
      </c>
      <c r="R47" s="24"/>
      <c r="S47" s="11">
        <v>0</v>
      </c>
      <c r="T47" s="10">
        <v>45000</v>
      </c>
      <c r="U47" s="12" t="s">
        <v>483</v>
      </c>
      <c r="V47" s="11">
        <f t="shared" si="2"/>
        <v>45000</v>
      </c>
      <c r="W47" s="13" t="s">
        <v>484</v>
      </c>
      <c r="X47" s="15"/>
      <c r="Y47" s="15"/>
      <c r="Z47" s="16" t="b">
        <v>0</v>
      </c>
    </row>
    <row r="48" spans="1:26" ht="27.75" hidden="1" customHeight="1">
      <c r="A48" s="26"/>
      <c r="B48" s="27" t="s">
        <v>485</v>
      </c>
      <c r="C48" s="26"/>
      <c r="D48" s="26"/>
      <c r="E48" s="26"/>
      <c r="F48" s="26"/>
      <c r="G48" s="26"/>
      <c r="H48" s="26"/>
      <c r="I48" s="26"/>
      <c r="J48" s="26"/>
      <c r="K48" s="26"/>
      <c r="L48" s="28">
        <f>SUM(L2:L46)</f>
        <v>129</v>
      </c>
      <c r="M48" s="26"/>
      <c r="N48" s="26"/>
      <c r="O48" s="28">
        <f>SUM(O2:O46)</f>
        <v>61.5</v>
      </c>
      <c r="P48" s="26"/>
      <c r="Q48" s="26"/>
      <c r="R48" s="26"/>
      <c r="S48" s="29">
        <f t="shared" ref="S48:T48" si="3">SUM(S2:S47)</f>
        <v>2600000</v>
      </c>
      <c r="T48" s="29">
        <f t="shared" si="3"/>
        <v>215000</v>
      </c>
      <c r="U48" s="26"/>
      <c r="V48" s="30">
        <f>SUM(V2:V47)</f>
        <v>2815000</v>
      </c>
      <c r="W48" s="26"/>
      <c r="X48" s="15"/>
      <c r="Y48" s="15"/>
    </row>
    <row r="49" spans="2:25" ht="15.75" customHeight="1">
      <c r="X49" s="15"/>
      <c r="Y49" s="15"/>
    </row>
    <row r="50" spans="2:25" ht="15.75" customHeight="1">
      <c r="B50" s="31" t="s">
        <v>486</v>
      </c>
      <c r="V50" s="32">
        <v>3000000</v>
      </c>
      <c r="X50" s="15"/>
      <c r="Y50" s="15"/>
    </row>
    <row r="51" spans="2:25" ht="15.75" customHeight="1">
      <c r="B51" s="31" t="s">
        <v>487</v>
      </c>
      <c r="V51" s="33">
        <f>V50-V48</f>
        <v>185000</v>
      </c>
      <c r="X51" s="15"/>
      <c r="Y51" s="15"/>
    </row>
    <row r="52" spans="2:25" ht="15.75" customHeight="1">
      <c r="B52" s="31" t="s">
        <v>488</v>
      </c>
      <c r="V52" s="34">
        <f>V48/V50</f>
        <v>0.93833333333333335</v>
      </c>
      <c r="X52" s="15"/>
      <c r="Y52" s="15"/>
    </row>
    <row r="53" spans="2:25" ht="15.75" customHeight="1">
      <c r="X53" s="15"/>
      <c r="Y53" s="15"/>
    </row>
    <row r="54" spans="2:25" ht="15.75" customHeight="1">
      <c r="B54" s="31" t="s">
        <v>489</v>
      </c>
      <c r="X54" s="15"/>
      <c r="Y54" s="15"/>
    </row>
    <row r="55" spans="2:25" ht="15.75" customHeight="1">
      <c r="B55" s="35" t="s">
        <v>490</v>
      </c>
      <c r="O55" s="36">
        <v>13.5</v>
      </c>
      <c r="P55" s="37" t="s">
        <v>491</v>
      </c>
      <c r="X55" s="15"/>
      <c r="Y55" s="15"/>
    </row>
    <row r="56" spans="2:25" ht="15.75" customHeight="1">
      <c r="B56" s="35" t="s">
        <v>492</v>
      </c>
      <c r="O56" s="36">
        <v>20.25</v>
      </c>
      <c r="P56" s="37" t="s">
        <v>491</v>
      </c>
      <c r="X56" s="15"/>
      <c r="Y56" s="15"/>
    </row>
    <row r="57" spans="2:25" ht="15.75" customHeight="1">
      <c r="B57" s="35" t="s">
        <v>493</v>
      </c>
      <c r="O57" s="36">
        <v>9</v>
      </c>
      <c r="P57" s="37" t="s">
        <v>491</v>
      </c>
      <c r="X57" s="15"/>
      <c r="Y57" s="15"/>
    </row>
    <row r="58" spans="2:25" ht="15.75" customHeight="1">
      <c r="B58" s="31" t="s">
        <v>494</v>
      </c>
      <c r="O58" s="36">
        <f>O55+O56+O57</f>
        <v>42.75</v>
      </c>
      <c r="P58" s="37" t="s">
        <v>491</v>
      </c>
      <c r="X58" s="15"/>
      <c r="Y58" s="15"/>
    </row>
    <row r="59" spans="2:25" ht="15.75" customHeight="1">
      <c r="B59" s="31" t="s">
        <v>495</v>
      </c>
      <c r="O59" s="36">
        <f>O48</f>
        <v>61.5</v>
      </c>
      <c r="P59" s="37" t="s">
        <v>491</v>
      </c>
      <c r="X59" s="15"/>
      <c r="Y59" s="15"/>
    </row>
    <row r="60" spans="2:25" ht="15.75" customHeight="1">
      <c r="B60" s="31" t="s">
        <v>496</v>
      </c>
      <c r="O60" s="38">
        <f>O58-O59</f>
        <v>-18.75</v>
      </c>
      <c r="P60" s="37" t="s">
        <v>491</v>
      </c>
      <c r="X60" s="15"/>
      <c r="Y60" s="15"/>
    </row>
    <row r="61" spans="2:25" ht="15.75" customHeight="1">
      <c r="X61" s="15"/>
      <c r="Y61" s="15"/>
    </row>
    <row r="62" spans="2:25" ht="15.75" customHeight="1">
      <c r="X62" s="15"/>
      <c r="Y62" s="15"/>
    </row>
    <row r="63" spans="2:25" ht="15.75" customHeight="1">
      <c r="X63" s="15"/>
      <c r="Y63" s="15"/>
    </row>
    <row r="64" spans="2:25" ht="15.75" customHeight="1">
      <c r="X64" s="15"/>
      <c r="Y64" s="15"/>
    </row>
    <row r="65" spans="24:25" ht="15.75" customHeight="1">
      <c r="X65" s="15"/>
      <c r="Y65" s="15"/>
    </row>
    <row r="66" spans="24:25" ht="15.75" customHeight="1">
      <c r="X66" s="15"/>
      <c r="Y66" s="15"/>
    </row>
    <row r="67" spans="24:25" ht="15.75" customHeight="1">
      <c r="X67" s="15"/>
      <c r="Y67" s="15"/>
    </row>
    <row r="68" spans="24:25" ht="15.75" customHeight="1">
      <c r="X68" s="15"/>
      <c r="Y68" s="15"/>
    </row>
    <row r="69" spans="24:25" ht="15.75" customHeight="1">
      <c r="X69" s="15"/>
      <c r="Y69" s="15"/>
    </row>
    <row r="70" spans="24:25" ht="15.75" customHeight="1">
      <c r="X70" s="15"/>
      <c r="Y70" s="15"/>
    </row>
    <row r="71" spans="24:25" ht="15.75" customHeight="1">
      <c r="X71" s="15"/>
      <c r="Y71" s="15"/>
    </row>
    <row r="72" spans="24:25" ht="15.75" customHeight="1">
      <c r="X72" s="15"/>
      <c r="Y72" s="15"/>
    </row>
    <row r="73" spans="24:25" ht="15.75" customHeight="1">
      <c r="X73" s="15"/>
      <c r="Y73" s="15"/>
    </row>
    <row r="74" spans="24:25" ht="15.75" customHeight="1">
      <c r="X74" s="15"/>
      <c r="Y74" s="15"/>
    </row>
    <row r="75" spans="24:25" ht="15.75" customHeight="1">
      <c r="X75" s="15"/>
      <c r="Y75" s="15"/>
    </row>
    <row r="76" spans="24:25" ht="15.75" customHeight="1">
      <c r="X76" s="15"/>
      <c r="Y76" s="15"/>
    </row>
    <row r="77" spans="24:25" ht="15.75" customHeight="1">
      <c r="X77" s="15"/>
      <c r="Y77" s="15"/>
    </row>
    <row r="78" spans="24:25" ht="15.75" customHeight="1">
      <c r="X78" s="15"/>
      <c r="Y78" s="15"/>
    </row>
    <row r="79" spans="24:25" ht="15.75" customHeight="1">
      <c r="X79" s="15"/>
      <c r="Y79" s="15"/>
    </row>
    <row r="80" spans="24:25" ht="15.75" customHeight="1">
      <c r="X80" s="15"/>
      <c r="Y80" s="15"/>
    </row>
    <row r="81" spans="24:25" ht="15.75" customHeight="1">
      <c r="X81" s="15"/>
      <c r="Y81" s="15"/>
    </row>
    <row r="82" spans="24:25" ht="15.75" customHeight="1">
      <c r="X82" s="15"/>
      <c r="Y82" s="15"/>
    </row>
    <row r="83" spans="24:25" ht="15.75" customHeight="1">
      <c r="X83" s="15"/>
      <c r="Y83" s="15"/>
    </row>
    <row r="84" spans="24:25" ht="15.75" customHeight="1">
      <c r="X84" s="15"/>
      <c r="Y84" s="15"/>
    </row>
    <row r="85" spans="24:25" ht="15.75" customHeight="1">
      <c r="X85" s="15"/>
      <c r="Y85" s="15"/>
    </row>
    <row r="86" spans="24:25" ht="15.75" customHeight="1">
      <c r="X86" s="15"/>
      <c r="Y86" s="15"/>
    </row>
    <row r="87" spans="24:25" ht="15.75" customHeight="1">
      <c r="X87" s="15"/>
      <c r="Y87" s="15"/>
    </row>
    <row r="88" spans="24:25" ht="15.75" customHeight="1">
      <c r="X88" s="15"/>
      <c r="Y88" s="15"/>
    </row>
    <row r="89" spans="24:25" ht="15.75" customHeight="1">
      <c r="X89" s="15"/>
      <c r="Y89" s="15"/>
    </row>
    <row r="90" spans="24:25" ht="15.75" customHeight="1">
      <c r="X90" s="15"/>
      <c r="Y90" s="15"/>
    </row>
    <row r="91" spans="24:25" ht="15.75" customHeight="1">
      <c r="X91" s="15"/>
      <c r="Y91" s="15"/>
    </row>
    <row r="92" spans="24:25" ht="15.75" customHeight="1">
      <c r="X92" s="15"/>
      <c r="Y92" s="15"/>
    </row>
    <row r="93" spans="24:25" ht="15.75" customHeight="1">
      <c r="X93" s="15"/>
      <c r="Y93" s="15"/>
    </row>
    <row r="94" spans="24:25" ht="15.75" customHeight="1">
      <c r="X94" s="15"/>
      <c r="Y94" s="15"/>
    </row>
    <row r="95" spans="24:25" ht="15.75" customHeight="1">
      <c r="X95" s="15"/>
      <c r="Y95" s="15"/>
    </row>
    <row r="96" spans="24:25" ht="15.75" customHeight="1">
      <c r="X96" s="15"/>
      <c r="Y96" s="15"/>
    </row>
    <row r="97" spans="24:25" ht="15.75" customHeight="1">
      <c r="X97" s="15"/>
      <c r="Y97" s="15"/>
    </row>
    <row r="98" spans="24:25" ht="15.75" customHeight="1">
      <c r="X98" s="15"/>
      <c r="Y98" s="15"/>
    </row>
    <row r="99" spans="24:25" ht="15.75" customHeight="1">
      <c r="X99" s="15"/>
      <c r="Y99" s="15"/>
    </row>
    <row r="100" spans="24:25" ht="15.75" customHeight="1">
      <c r="X100" s="15"/>
      <c r="Y100" s="15"/>
    </row>
    <row r="101" spans="24:25" ht="15.75" customHeight="1">
      <c r="X101" s="15"/>
      <c r="Y101" s="15"/>
    </row>
    <row r="102" spans="24:25" ht="15.75" customHeight="1">
      <c r="X102" s="15"/>
      <c r="Y102" s="15"/>
    </row>
    <row r="103" spans="24:25" ht="15.75" customHeight="1">
      <c r="X103" s="15"/>
      <c r="Y103" s="15"/>
    </row>
    <row r="104" spans="24:25" ht="15.75" customHeight="1">
      <c r="X104" s="15"/>
      <c r="Y104" s="15"/>
    </row>
    <row r="105" spans="24:25" ht="15.75" customHeight="1">
      <c r="X105" s="15"/>
      <c r="Y105" s="15"/>
    </row>
    <row r="106" spans="24:25" ht="15.75" customHeight="1">
      <c r="X106" s="15"/>
      <c r="Y106" s="15"/>
    </row>
    <row r="107" spans="24:25" ht="15.75" customHeight="1">
      <c r="X107" s="15"/>
      <c r="Y107" s="15"/>
    </row>
    <row r="108" spans="24:25" ht="15.75" customHeight="1">
      <c r="X108" s="15"/>
      <c r="Y108" s="15"/>
    </row>
    <row r="109" spans="24:25" ht="15.75" customHeight="1">
      <c r="X109" s="15"/>
      <c r="Y109" s="15"/>
    </row>
    <row r="110" spans="24:25" ht="15.75" customHeight="1">
      <c r="X110" s="15"/>
      <c r="Y110" s="15"/>
    </row>
    <row r="111" spans="24:25" ht="15.75" customHeight="1">
      <c r="X111" s="15"/>
      <c r="Y111" s="15"/>
    </row>
    <row r="112" spans="24:25" ht="15.75" customHeight="1">
      <c r="X112" s="15"/>
      <c r="Y112" s="15"/>
    </row>
    <row r="113" spans="24:25" ht="15.75" customHeight="1">
      <c r="X113" s="15"/>
      <c r="Y113" s="15"/>
    </row>
    <row r="114" spans="24:25" ht="15.75" customHeight="1">
      <c r="X114" s="15"/>
      <c r="Y114" s="15"/>
    </row>
    <row r="115" spans="24:25" ht="15.75" customHeight="1">
      <c r="X115" s="15"/>
      <c r="Y115" s="15"/>
    </row>
    <row r="116" spans="24:25" ht="15.75" customHeight="1">
      <c r="X116" s="15"/>
      <c r="Y116" s="15"/>
    </row>
    <row r="117" spans="24:25" ht="15.75" customHeight="1">
      <c r="X117" s="15"/>
      <c r="Y117" s="15"/>
    </row>
    <row r="118" spans="24:25" ht="15.75" customHeight="1">
      <c r="X118" s="15"/>
      <c r="Y118" s="15"/>
    </row>
    <row r="119" spans="24:25" ht="15.75" customHeight="1">
      <c r="X119" s="15"/>
      <c r="Y119" s="15"/>
    </row>
    <row r="120" spans="24:25" ht="15.75" customHeight="1">
      <c r="X120" s="15"/>
      <c r="Y120" s="15"/>
    </row>
    <row r="121" spans="24:25" ht="15.75" customHeight="1">
      <c r="X121" s="15"/>
      <c r="Y121" s="15"/>
    </row>
    <row r="122" spans="24:25" ht="15.75" customHeight="1">
      <c r="X122" s="15"/>
      <c r="Y122" s="15"/>
    </row>
    <row r="123" spans="24:25" ht="15.75" customHeight="1">
      <c r="X123" s="15"/>
      <c r="Y123" s="15"/>
    </row>
    <row r="124" spans="24:25" ht="15.75" customHeight="1">
      <c r="X124" s="15"/>
      <c r="Y124" s="15"/>
    </row>
    <row r="125" spans="24:25" ht="15.75" customHeight="1">
      <c r="X125" s="15"/>
      <c r="Y125" s="15"/>
    </row>
    <row r="126" spans="24:25" ht="15.75" customHeight="1">
      <c r="X126" s="15"/>
      <c r="Y126" s="15"/>
    </row>
    <row r="127" spans="24:25" ht="15.75" customHeight="1">
      <c r="X127" s="15"/>
      <c r="Y127" s="15"/>
    </row>
    <row r="128" spans="24:25" ht="15.75" customHeight="1">
      <c r="X128" s="15"/>
      <c r="Y128" s="15"/>
    </row>
    <row r="129" spans="24:25" ht="15.75" customHeight="1">
      <c r="X129" s="15"/>
      <c r="Y129" s="15"/>
    </row>
    <row r="130" spans="24:25" ht="15.75" customHeight="1">
      <c r="X130" s="15"/>
      <c r="Y130" s="15"/>
    </row>
    <row r="131" spans="24:25" ht="15.75" customHeight="1">
      <c r="X131" s="15"/>
      <c r="Y131" s="15"/>
    </row>
    <row r="132" spans="24:25" ht="15.75" customHeight="1">
      <c r="X132" s="15"/>
      <c r="Y132" s="15"/>
    </row>
    <row r="133" spans="24:25" ht="15.75" customHeight="1">
      <c r="X133" s="15"/>
      <c r="Y133" s="15"/>
    </row>
    <row r="134" spans="24:25" ht="15.75" customHeight="1">
      <c r="X134" s="15"/>
      <c r="Y134" s="15"/>
    </row>
    <row r="135" spans="24:25" ht="15.75" customHeight="1">
      <c r="X135" s="15"/>
      <c r="Y135" s="15"/>
    </row>
    <row r="136" spans="24:25" ht="15.75" customHeight="1">
      <c r="X136" s="15"/>
      <c r="Y136" s="15"/>
    </row>
    <row r="137" spans="24:25" ht="15.75" customHeight="1">
      <c r="X137" s="15"/>
      <c r="Y137" s="15"/>
    </row>
    <row r="138" spans="24:25" ht="15.75" customHeight="1">
      <c r="X138" s="15"/>
      <c r="Y138" s="15"/>
    </row>
    <row r="139" spans="24:25" ht="15.75" customHeight="1">
      <c r="X139" s="15"/>
      <c r="Y139" s="15"/>
    </row>
    <row r="140" spans="24:25" ht="15.75" customHeight="1">
      <c r="X140" s="15"/>
      <c r="Y140" s="15"/>
    </row>
    <row r="141" spans="24:25" ht="15.75" customHeight="1">
      <c r="X141" s="15"/>
      <c r="Y141" s="15"/>
    </row>
    <row r="142" spans="24:25" ht="15.75" customHeight="1">
      <c r="X142" s="15"/>
      <c r="Y142" s="15"/>
    </row>
    <row r="143" spans="24:25" ht="15.75" customHeight="1">
      <c r="X143" s="15"/>
      <c r="Y143" s="15"/>
    </row>
    <row r="144" spans="24:25" ht="15.75" customHeight="1">
      <c r="X144" s="15"/>
      <c r="Y144" s="15"/>
    </row>
    <row r="145" spans="24:25" ht="15.75" customHeight="1">
      <c r="X145" s="15"/>
      <c r="Y145" s="15"/>
    </row>
    <row r="146" spans="24:25" ht="15.75" customHeight="1">
      <c r="X146" s="15"/>
      <c r="Y146" s="15"/>
    </row>
    <row r="147" spans="24:25" ht="15.75" customHeight="1">
      <c r="X147" s="15"/>
      <c r="Y147" s="15"/>
    </row>
    <row r="148" spans="24:25" ht="15.75" customHeight="1">
      <c r="X148" s="15"/>
      <c r="Y148" s="15"/>
    </row>
    <row r="149" spans="24:25" ht="15.75" customHeight="1">
      <c r="X149" s="15"/>
      <c r="Y149" s="15"/>
    </row>
    <row r="150" spans="24:25" ht="15.75" customHeight="1">
      <c r="X150" s="15"/>
      <c r="Y150" s="15"/>
    </row>
    <row r="151" spans="24:25" ht="15.75" customHeight="1">
      <c r="X151" s="15"/>
      <c r="Y151" s="15"/>
    </row>
    <row r="152" spans="24:25" ht="15.75" customHeight="1">
      <c r="X152" s="15"/>
      <c r="Y152" s="15"/>
    </row>
    <row r="153" spans="24:25" ht="15.75" customHeight="1">
      <c r="X153" s="15"/>
      <c r="Y153" s="15"/>
    </row>
    <row r="154" spans="24:25" ht="15.75" customHeight="1">
      <c r="X154" s="15"/>
      <c r="Y154" s="15"/>
    </row>
    <row r="155" spans="24:25" ht="15.75" customHeight="1">
      <c r="X155" s="15"/>
      <c r="Y155" s="15"/>
    </row>
    <row r="156" spans="24:25" ht="15.75" customHeight="1">
      <c r="X156" s="15"/>
      <c r="Y156" s="15"/>
    </row>
    <row r="157" spans="24:25" ht="15.75" customHeight="1">
      <c r="X157" s="15"/>
      <c r="Y157" s="15"/>
    </row>
    <row r="158" spans="24:25" ht="15.75" customHeight="1">
      <c r="X158" s="15"/>
      <c r="Y158" s="15"/>
    </row>
    <row r="159" spans="24:25" ht="15.75" customHeight="1">
      <c r="X159" s="15"/>
      <c r="Y159" s="15"/>
    </row>
    <row r="160" spans="24:25" ht="15.75" customHeight="1">
      <c r="X160" s="15"/>
      <c r="Y160" s="15"/>
    </row>
    <row r="161" spans="24:25" ht="15.75" customHeight="1">
      <c r="X161" s="15"/>
      <c r="Y161" s="15"/>
    </row>
    <row r="162" spans="24:25" ht="15.75" customHeight="1">
      <c r="X162" s="15"/>
      <c r="Y162" s="15"/>
    </row>
    <row r="163" spans="24:25" ht="15.75" customHeight="1">
      <c r="X163" s="15"/>
      <c r="Y163" s="15"/>
    </row>
    <row r="164" spans="24:25" ht="15.75" customHeight="1">
      <c r="X164" s="15"/>
      <c r="Y164" s="15"/>
    </row>
    <row r="165" spans="24:25" ht="15.75" customHeight="1">
      <c r="X165" s="15"/>
      <c r="Y165" s="15"/>
    </row>
    <row r="166" spans="24:25" ht="15.75" customHeight="1">
      <c r="X166" s="15"/>
      <c r="Y166" s="15"/>
    </row>
    <row r="167" spans="24:25" ht="15.75" customHeight="1">
      <c r="X167" s="15"/>
      <c r="Y167" s="15"/>
    </row>
    <row r="168" spans="24:25" ht="15.75" customHeight="1">
      <c r="X168" s="15"/>
      <c r="Y168" s="15"/>
    </row>
    <row r="169" spans="24:25" ht="15.75" customHeight="1">
      <c r="X169" s="15"/>
      <c r="Y169" s="15"/>
    </row>
    <row r="170" spans="24:25" ht="15.75" customHeight="1">
      <c r="X170" s="15"/>
      <c r="Y170" s="15"/>
    </row>
    <row r="171" spans="24:25" ht="15.75" customHeight="1">
      <c r="X171" s="15"/>
      <c r="Y171" s="15"/>
    </row>
    <row r="172" spans="24:25" ht="15.75" customHeight="1">
      <c r="X172" s="15"/>
      <c r="Y172" s="15"/>
    </row>
    <row r="173" spans="24:25" ht="15.75" customHeight="1">
      <c r="X173" s="15"/>
      <c r="Y173" s="15"/>
    </row>
    <row r="174" spans="24:25" ht="15.75" customHeight="1">
      <c r="X174" s="15"/>
      <c r="Y174" s="15"/>
    </row>
    <row r="175" spans="24:25" ht="15.75" customHeight="1">
      <c r="X175" s="15"/>
      <c r="Y175" s="15"/>
    </row>
    <row r="176" spans="24:25" ht="15.75" customHeight="1">
      <c r="X176" s="15"/>
      <c r="Y176" s="15"/>
    </row>
    <row r="177" spans="24:25" ht="15.75" customHeight="1">
      <c r="X177" s="15"/>
      <c r="Y177" s="15"/>
    </row>
    <row r="178" spans="24:25" ht="15.75" customHeight="1">
      <c r="X178" s="15"/>
      <c r="Y178" s="15"/>
    </row>
    <row r="179" spans="24:25" ht="15.75" customHeight="1">
      <c r="X179" s="15"/>
      <c r="Y179" s="15"/>
    </row>
    <row r="180" spans="24:25" ht="15.75" customHeight="1">
      <c r="X180" s="15"/>
      <c r="Y180" s="15"/>
    </row>
    <row r="181" spans="24:25" ht="15.75" customHeight="1">
      <c r="X181" s="15"/>
      <c r="Y181" s="15"/>
    </row>
    <row r="182" spans="24:25" ht="15.75" customHeight="1">
      <c r="X182" s="15"/>
      <c r="Y182" s="15"/>
    </row>
    <row r="183" spans="24:25" ht="15.75" customHeight="1">
      <c r="X183" s="15"/>
      <c r="Y183" s="15"/>
    </row>
    <row r="184" spans="24:25" ht="15.75" customHeight="1">
      <c r="X184" s="15"/>
      <c r="Y184" s="15"/>
    </row>
    <row r="185" spans="24:25" ht="15.75" customHeight="1">
      <c r="X185" s="15"/>
      <c r="Y185" s="15"/>
    </row>
    <row r="186" spans="24:25" ht="15.75" customHeight="1">
      <c r="X186" s="15"/>
      <c r="Y186" s="15"/>
    </row>
    <row r="187" spans="24:25" ht="15.75" customHeight="1">
      <c r="X187" s="15"/>
      <c r="Y187" s="15"/>
    </row>
    <row r="188" spans="24:25" ht="15.75" customHeight="1">
      <c r="X188" s="15"/>
      <c r="Y188" s="15"/>
    </row>
    <row r="189" spans="24:25" ht="15.75" customHeight="1">
      <c r="X189" s="15"/>
      <c r="Y189" s="15"/>
    </row>
    <row r="190" spans="24:25" ht="15.75" customHeight="1">
      <c r="X190" s="15"/>
      <c r="Y190" s="15"/>
    </row>
    <row r="191" spans="24:25" ht="15.75" customHeight="1">
      <c r="X191" s="15"/>
      <c r="Y191" s="15"/>
    </row>
    <row r="192" spans="24:25" ht="15.75" customHeight="1">
      <c r="X192" s="15"/>
      <c r="Y192" s="15"/>
    </row>
    <row r="193" spans="24:25" ht="15.75" customHeight="1">
      <c r="X193" s="15"/>
      <c r="Y193" s="15"/>
    </row>
    <row r="194" spans="24:25" ht="15.75" customHeight="1">
      <c r="X194" s="15"/>
      <c r="Y194" s="15"/>
    </row>
    <row r="195" spans="24:25" ht="15.75" customHeight="1">
      <c r="X195" s="15"/>
      <c r="Y195" s="15"/>
    </row>
    <row r="196" spans="24:25" ht="15.75" customHeight="1">
      <c r="X196" s="15"/>
      <c r="Y196" s="15"/>
    </row>
    <row r="197" spans="24:25" ht="15.75" customHeight="1">
      <c r="X197" s="15"/>
      <c r="Y197" s="15"/>
    </row>
    <row r="198" spans="24:25" ht="15.75" customHeight="1">
      <c r="X198" s="15"/>
      <c r="Y198" s="15"/>
    </row>
    <row r="199" spans="24:25" ht="15.75" customHeight="1">
      <c r="X199" s="15"/>
      <c r="Y199" s="15"/>
    </row>
    <row r="200" spans="24:25" ht="15.75" customHeight="1">
      <c r="X200" s="15"/>
      <c r="Y200" s="15"/>
    </row>
    <row r="201" spans="24:25" ht="15.75" customHeight="1">
      <c r="X201" s="15"/>
      <c r="Y201" s="15"/>
    </row>
    <row r="202" spans="24:25" ht="15.75" customHeight="1">
      <c r="X202" s="15"/>
      <c r="Y202" s="15"/>
    </row>
    <row r="203" spans="24:25" ht="15.75" customHeight="1">
      <c r="X203" s="15"/>
      <c r="Y203" s="15"/>
    </row>
    <row r="204" spans="24:25" ht="15.75" customHeight="1">
      <c r="X204" s="15"/>
      <c r="Y204" s="15"/>
    </row>
    <row r="205" spans="24:25" ht="15.75" customHeight="1">
      <c r="X205" s="15"/>
      <c r="Y205" s="15"/>
    </row>
    <row r="206" spans="24:25" ht="15.75" customHeight="1">
      <c r="X206" s="15"/>
      <c r="Y206" s="15"/>
    </row>
    <row r="207" spans="24:25" ht="15.75" customHeight="1">
      <c r="X207" s="15"/>
      <c r="Y207" s="15"/>
    </row>
    <row r="208" spans="24:25" ht="15.75" customHeight="1">
      <c r="X208" s="15"/>
      <c r="Y208" s="15"/>
    </row>
    <row r="209" spans="24:25" ht="15.75" customHeight="1">
      <c r="X209" s="15"/>
      <c r="Y209" s="15"/>
    </row>
    <row r="210" spans="24:25" ht="15.75" customHeight="1">
      <c r="X210" s="15"/>
      <c r="Y210" s="15"/>
    </row>
    <row r="211" spans="24:25" ht="15.75" customHeight="1">
      <c r="X211" s="15"/>
      <c r="Y211" s="15"/>
    </row>
    <row r="212" spans="24:25" ht="15.75" customHeight="1">
      <c r="X212" s="15"/>
      <c r="Y212" s="15"/>
    </row>
    <row r="213" spans="24:25" ht="15.75" customHeight="1">
      <c r="X213" s="15"/>
      <c r="Y213" s="15"/>
    </row>
    <row r="214" spans="24:25" ht="15.75" customHeight="1">
      <c r="X214" s="15"/>
      <c r="Y214" s="15"/>
    </row>
    <row r="215" spans="24:25" ht="15.75" customHeight="1">
      <c r="X215" s="15"/>
      <c r="Y215" s="15"/>
    </row>
    <row r="216" spans="24:25" ht="15.75" customHeight="1">
      <c r="X216" s="15"/>
      <c r="Y216" s="15"/>
    </row>
    <row r="217" spans="24:25" ht="15.75" customHeight="1">
      <c r="X217" s="15"/>
      <c r="Y217" s="15"/>
    </row>
    <row r="218" spans="24:25" ht="15.75" customHeight="1">
      <c r="X218" s="15"/>
      <c r="Y218" s="15"/>
    </row>
    <row r="219" spans="24:25" ht="15.75" customHeight="1">
      <c r="X219" s="15"/>
      <c r="Y219" s="15"/>
    </row>
    <row r="220" spans="24:25" ht="15.75" customHeight="1">
      <c r="X220" s="15"/>
      <c r="Y220" s="15"/>
    </row>
    <row r="221" spans="24:25" ht="15.75" customHeight="1">
      <c r="X221" s="15"/>
      <c r="Y221" s="15"/>
    </row>
    <row r="222" spans="24:25" ht="15.75" customHeight="1">
      <c r="X222" s="15"/>
      <c r="Y222" s="15"/>
    </row>
    <row r="223" spans="24:25" ht="15.75" customHeight="1">
      <c r="X223" s="15"/>
      <c r="Y223" s="15"/>
    </row>
    <row r="224" spans="24:25" ht="15.75" customHeight="1">
      <c r="X224" s="15"/>
      <c r="Y224" s="15"/>
    </row>
    <row r="225" spans="24:25" ht="15.75" customHeight="1">
      <c r="X225" s="15"/>
      <c r="Y225" s="15"/>
    </row>
    <row r="226" spans="24:25" ht="15.75" customHeight="1">
      <c r="X226" s="15"/>
      <c r="Y226" s="15"/>
    </row>
    <row r="227" spans="24:25" ht="15.75" customHeight="1">
      <c r="X227" s="15"/>
      <c r="Y227" s="15"/>
    </row>
    <row r="228" spans="24:25" ht="15.75" customHeight="1">
      <c r="X228" s="15"/>
      <c r="Y228" s="15"/>
    </row>
    <row r="229" spans="24:25" ht="15.75" customHeight="1">
      <c r="X229" s="15"/>
      <c r="Y229" s="15"/>
    </row>
    <row r="230" spans="24:25" ht="15.75" customHeight="1">
      <c r="X230" s="15"/>
      <c r="Y230" s="15"/>
    </row>
    <row r="231" spans="24:25" ht="15.75" customHeight="1">
      <c r="X231" s="15"/>
      <c r="Y231" s="15"/>
    </row>
    <row r="232" spans="24:25" ht="15.75" customHeight="1">
      <c r="X232" s="15"/>
      <c r="Y232" s="15"/>
    </row>
    <row r="233" spans="24:25" ht="15.75" customHeight="1">
      <c r="X233" s="15"/>
      <c r="Y233" s="15"/>
    </row>
    <row r="234" spans="24:25" ht="15.75" customHeight="1">
      <c r="X234" s="15"/>
      <c r="Y234" s="15"/>
    </row>
    <row r="235" spans="24:25" ht="15.75" customHeight="1">
      <c r="X235" s="15"/>
      <c r="Y235" s="15"/>
    </row>
    <row r="236" spans="24:25" ht="15.75" customHeight="1">
      <c r="X236" s="15"/>
      <c r="Y236" s="15"/>
    </row>
    <row r="237" spans="24:25" ht="15.75" customHeight="1">
      <c r="X237" s="15"/>
      <c r="Y237" s="15"/>
    </row>
    <row r="238" spans="24:25" ht="15.75" customHeight="1">
      <c r="X238" s="15"/>
      <c r="Y238" s="15"/>
    </row>
    <row r="239" spans="24:25" ht="15.75" customHeight="1">
      <c r="X239" s="15"/>
      <c r="Y239" s="15"/>
    </row>
    <row r="240" spans="24:25" ht="15.75" customHeight="1">
      <c r="X240" s="15"/>
      <c r="Y240" s="15"/>
    </row>
    <row r="241" spans="24:25" ht="15.75" customHeight="1">
      <c r="X241" s="15"/>
      <c r="Y241" s="15"/>
    </row>
    <row r="242" spans="24:25" ht="15.75" customHeight="1">
      <c r="X242" s="15"/>
      <c r="Y242" s="15"/>
    </row>
    <row r="243" spans="24:25" ht="15.75" customHeight="1">
      <c r="X243" s="15"/>
      <c r="Y243" s="15"/>
    </row>
    <row r="244" spans="24:25" ht="15.75" customHeight="1">
      <c r="X244" s="15"/>
      <c r="Y244" s="15"/>
    </row>
    <row r="245" spans="24:25" ht="15.75" customHeight="1">
      <c r="X245" s="15"/>
      <c r="Y245" s="15"/>
    </row>
    <row r="246" spans="24:25" ht="15.75" customHeight="1">
      <c r="X246" s="15"/>
      <c r="Y246" s="15"/>
    </row>
    <row r="247" spans="24:25" ht="15.75" customHeight="1">
      <c r="X247" s="15"/>
      <c r="Y247" s="15"/>
    </row>
    <row r="248" spans="24:25" ht="15.75" customHeight="1">
      <c r="X248" s="15"/>
      <c r="Y248" s="15"/>
    </row>
    <row r="249" spans="24:25" ht="15.75" customHeight="1">
      <c r="X249" s="15"/>
      <c r="Y249" s="15"/>
    </row>
    <row r="250" spans="24:25" ht="15.75" customHeight="1">
      <c r="X250" s="15"/>
      <c r="Y250" s="15"/>
    </row>
    <row r="251" spans="24:25" ht="15.75" customHeight="1">
      <c r="X251" s="15"/>
      <c r="Y251" s="15"/>
    </row>
    <row r="252" spans="24:25" ht="15.75" customHeight="1">
      <c r="X252" s="15"/>
      <c r="Y252" s="15"/>
    </row>
    <row r="253" spans="24:25" ht="15.75" customHeight="1">
      <c r="X253" s="15"/>
      <c r="Y253" s="15"/>
    </row>
    <row r="254" spans="24:25" ht="15.75" customHeight="1">
      <c r="X254" s="15"/>
      <c r="Y254" s="15"/>
    </row>
    <row r="255" spans="24:25" ht="15.75" customHeight="1">
      <c r="X255" s="15"/>
      <c r="Y255" s="15"/>
    </row>
    <row r="256" spans="24:25" ht="15.75" customHeight="1">
      <c r="X256" s="15"/>
      <c r="Y256" s="15"/>
    </row>
    <row r="257" spans="24:25" ht="15.75" customHeight="1">
      <c r="X257" s="15"/>
      <c r="Y257" s="15"/>
    </row>
    <row r="258" spans="24:25" ht="15.75" customHeight="1">
      <c r="X258" s="15"/>
      <c r="Y258" s="15"/>
    </row>
    <row r="259" spans="24:25" ht="15.75" customHeight="1">
      <c r="X259" s="15"/>
      <c r="Y259" s="15"/>
    </row>
    <row r="260" spans="24:25" ht="15.75" customHeight="1">
      <c r="X260" s="15"/>
      <c r="Y260" s="15"/>
    </row>
    <row r="261" spans="24:25" ht="15.75" customHeight="1">
      <c r="X261" s="15"/>
      <c r="Y261" s="15"/>
    </row>
    <row r="262" spans="24:25" ht="15.75" customHeight="1">
      <c r="X262" s="15"/>
      <c r="Y262" s="15"/>
    </row>
    <row r="263" spans="24:25" ht="15.75" customHeight="1">
      <c r="X263" s="15"/>
      <c r="Y263" s="15"/>
    </row>
    <row r="264" spans="24:25" ht="15.75" customHeight="1">
      <c r="X264" s="15"/>
      <c r="Y264" s="15"/>
    </row>
    <row r="265" spans="24:25" ht="15.75" customHeight="1">
      <c r="X265" s="15"/>
      <c r="Y265" s="15"/>
    </row>
    <row r="266" spans="24:25" ht="15.75" customHeight="1">
      <c r="X266" s="15"/>
      <c r="Y266" s="15"/>
    </row>
    <row r="267" spans="24:25" ht="15.75" customHeight="1">
      <c r="X267" s="15"/>
      <c r="Y267" s="15"/>
    </row>
    <row r="268" spans="24:25" ht="15.75" customHeight="1">
      <c r="X268" s="15"/>
      <c r="Y268" s="15"/>
    </row>
    <row r="269" spans="24:25" ht="15.75" customHeight="1">
      <c r="X269" s="15"/>
      <c r="Y269" s="15"/>
    </row>
    <row r="270" spans="24:25" ht="15.75" customHeight="1">
      <c r="X270" s="15"/>
      <c r="Y270" s="15"/>
    </row>
    <row r="271" spans="24:25" ht="15.75" customHeight="1">
      <c r="X271" s="15"/>
      <c r="Y271" s="15"/>
    </row>
    <row r="272" spans="24:25" ht="15.75" customHeight="1">
      <c r="X272" s="15"/>
      <c r="Y272" s="15"/>
    </row>
    <row r="273" spans="24:25" ht="15.75" customHeight="1">
      <c r="X273" s="15"/>
      <c r="Y273" s="15"/>
    </row>
    <row r="274" spans="24:25" ht="15.75" customHeight="1">
      <c r="X274" s="15"/>
      <c r="Y274" s="15"/>
    </row>
    <row r="275" spans="24:25" ht="15.75" customHeight="1">
      <c r="X275" s="15"/>
      <c r="Y275" s="15"/>
    </row>
    <row r="276" spans="24:25" ht="15.75" customHeight="1">
      <c r="X276" s="15"/>
      <c r="Y276" s="15"/>
    </row>
    <row r="277" spans="24:25" ht="15.75" customHeight="1">
      <c r="X277" s="15"/>
      <c r="Y277" s="15"/>
    </row>
    <row r="278" spans="24:25" ht="15.75" customHeight="1">
      <c r="X278" s="15"/>
      <c r="Y278" s="15"/>
    </row>
    <row r="279" spans="24:25" ht="15.75" customHeight="1">
      <c r="X279" s="15"/>
      <c r="Y279" s="15"/>
    </row>
    <row r="280" spans="24:25" ht="15.75" customHeight="1">
      <c r="X280" s="15"/>
      <c r="Y280" s="15"/>
    </row>
    <row r="281" spans="24:25" ht="15.75" customHeight="1">
      <c r="X281" s="15"/>
      <c r="Y281" s="15"/>
    </row>
    <row r="282" spans="24:25" ht="15.75" customHeight="1">
      <c r="X282" s="15"/>
      <c r="Y282" s="15"/>
    </row>
    <row r="283" spans="24:25" ht="15.75" customHeight="1">
      <c r="X283" s="15"/>
      <c r="Y283" s="15"/>
    </row>
    <row r="284" spans="24:25" ht="15.75" customHeight="1">
      <c r="X284" s="15"/>
      <c r="Y284" s="15"/>
    </row>
    <row r="285" spans="24:25" ht="15.75" customHeight="1">
      <c r="X285" s="15"/>
      <c r="Y285" s="15"/>
    </row>
    <row r="286" spans="24:25" ht="15.75" customHeight="1">
      <c r="X286" s="15"/>
      <c r="Y286" s="15"/>
    </row>
    <row r="287" spans="24:25" ht="15.75" customHeight="1">
      <c r="X287" s="15"/>
      <c r="Y287" s="15"/>
    </row>
    <row r="288" spans="24:25" ht="15.75" customHeight="1">
      <c r="X288" s="15"/>
      <c r="Y288" s="15"/>
    </row>
    <row r="289" spans="24:25" ht="15.75" customHeight="1">
      <c r="X289" s="15"/>
      <c r="Y289" s="15"/>
    </row>
    <row r="290" spans="24:25" ht="15.75" customHeight="1">
      <c r="X290" s="15"/>
      <c r="Y290" s="15"/>
    </row>
    <row r="291" spans="24:25" ht="15.75" customHeight="1">
      <c r="X291" s="15"/>
      <c r="Y291" s="15"/>
    </row>
    <row r="292" spans="24:25" ht="15.75" customHeight="1">
      <c r="X292" s="15"/>
      <c r="Y292" s="15"/>
    </row>
    <row r="293" spans="24:25" ht="15.75" customHeight="1">
      <c r="X293" s="15"/>
      <c r="Y293" s="15"/>
    </row>
    <row r="294" spans="24:25" ht="15.75" customHeight="1">
      <c r="X294" s="15"/>
      <c r="Y294" s="15"/>
    </row>
    <row r="295" spans="24:25" ht="15.75" customHeight="1">
      <c r="X295" s="15"/>
      <c r="Y295" s="15"/>
    </row>
    <row r="296" spans="24:25" ht="15.75" customHeight="1">
      <c r="X296" s="15"/>
      <c r="Y296" s="15"/>
    </row>
    <row r="297" spans="24:25" ht="15.75" customHeight="1">
      <c r="X297" s="15"/>
      <c r="Y297" s="15"/>
    </row>
    <row r="298" spans="24:25" ht="15.75" customHeight="1">
      <c r="X298" s="15"/>
      <c r="Y298" s="15"/>
    </row>
    <row r="299" spans="24:25" ht="15.75" customHeight="1">
      <c r="X299" s="15"/>
      <c r="Y299" s="15"/>
    </row>
    <row r="300" spans="24:25" ht="15.75" customHeight="1">
      <c r="X300" s="15"/>
      <c r="Y300" s="15"/>
    </row>
    <row r="301" spans="24:25" ht="15.75" customHeight="1">
      <c r="X301" s="15"/>
      <c r="Y301" s="15"/>
    </row>
    <row r="302" spans="24:25" ht="15.75" customHeight="1">
      <c r="X302" s="15"/>
      <c r="Y302" s="15"/>
    </row>
    <row r="303" spans="24:25" ht="15.75" customHeight="1">
      <c r="X303" s="15"/>
      <c r="Y303" s="15"/>
    </row>
    <row r="304" spans="24:25" ht="15.75" customHeight="1">
      <c r="X304" s="15"/>
      <c r="Y304" s="15"/>
    </row>
    <row r="305" spans="24:25" ht="15.75" customHeight="1">
      <c r="X305" s="15"/>
      <c r="Y305" s="15"/>
    </row>
    <row r="306" spans="24:25" ht="15.75" customHeight="1">
      <c r="X306" s="15"/>
      <c r="Y306" s="15"/>
    </row>
    <row r="307" spans="24:25" ht="15.75" customHeight="1">
      <c r="X307" s="15"/>
      <c r="Y307" s="15"/>
    </row>
    <row r="308" spans="24:25" ht="15.75" customHeight="1">
      <c r="X308" s="15"/>
      <c r="Y308" s="15"/>
    </row>
    <row r="309" spans="24:25" ht="15.75" customHeight="1">
      <c r="X309" s="15"/>
      <c r="Y309" s="15"/>
    </row>
    <row r="310" spans="24:25" ht="15.75" customHeight="1">
      <c r="X310" s="15"/>
      <c r="Y310" s="15"/>
    </row>
    <row r="311" spans="24:25" ht="15.75" customHeight="1">
      <c r="X311" s="15"/>
      <c r="Y311" s="15"/>
    </row>
    <row r="312" spans="24:25" ht="15.75" customHeight="1">
      <c r="X312" s="15"/>
      <c r="Y312" s="15"/>
    </row>
    <row r="313" spans="24:25" ht="15.75" customHeight="1">
      <c r="X313" s="15"/>
      <c r="Y313" s="15"/>
    </row>
    <row r="314" spans="24:25" ht="15.75" customHeight="1">
      <c r="X314" s="15"/>
      <c r="Y314" s="15"/>
    </row>
    <row r="315" spans="24:25" ht="15.75" customHeight="1">
      <c r="X315" s="15"/>
      <c r="Y315" s="15"/>
    </row>
    <row r="316" spans="24:25" ht="15.75" customHeight="1">
      <c r="X316" s="15"/>
      <c r="Y316" s="15"/>
    </row>
    <row r="317" spans="24:25" ht="15.75" customHeight="1">
      <c r="X317" s="15"/>
      <c r="Y317" s="15"/>
    </row>
    <row r="318" spans="24:25" ht="15.75" customHeight="1">
      <c r="X318" s="15"/>
      <c r="Y318" s="15"/>
    </row>
    <row r="319" spans="24:25" ht="15.75" customHeight="1">
      <c r="X319" s="15"/>
      <c r="Y319" s="15"/>
    </row>
    <row r="320" spans="24:25" ht="15.75" customHeight="1">
      <c r="X320" s="15"/>
      <c r="Y320" s="15"/>
    </row>
    <row r="321" spans="24:25" ht="15.75" customHeight="1">
      <c r="X321" s="15"/>
      <c r="Y321" s="15"/>
    </row>
    <row r="322" spans="24:25" ht="15.75" customHeight="1">
      <c r="X322" s="15"/>
      <c r="Y322" s="15"/>
    </row>
    <row r="323" spans="24:25" ht="15.75" customHeight="1">
      <c r="X323" s="15"/>
      <c r="Y323" s="15"/>
    </row>
    <row r="324" spans="24:25" ht="15.75" customHeight="1">
      <c r="X324" s="15"/>
      <c r="Y324" s="15"/>
    </row>
    <row r="325" spans="24:25" ht="15.75" customHeight="1">
      <c r="X325" s="15"/>
      <c r="Y325" s="15"/>
    </row>
    <row r="326" spans="24:25" ht="15.75" customHeight="1">
      <c r="X326" s="15"/>
      <c r="Y326" s="15"/>
    </row>
    <row r="327" spans="24:25" ht="15.75" customHeight="1">
      <c r="X327" s="15"/>
      <c r="Y327" s="15"/>
    </row>
    <row r="328" spans="24:25" ht="15.75" customHeight="1">
      <c r="X328" s="15"/>
      <c r="Y328" s="15"/>
    </row>
    <row r="329" spans="24:25" ht="15.75" customHeight="1">
      <c r="X329" s="15"/>
      <c r="Y329" s="15"/>
    </row>
    <row r="330" spans="24:25" ht="15.75" customHeight="1">
      <c r="X330" s="15"/>
      <c r="Y330" s="15"/>
    </row>
    <row r="331" spans="24:25" ht="15.75" customHeight="1">
      <c r="X331" s="15"/>
      <c r="Y331" s="15"/>
    </row>
    <row r="332" spans="24:25" ht="15.75" customHeight="1">
      <c r="X332" s="15"/>
      <c r="Y332" s="15"/>
    </row>
    <row r="333" spans="24:25" ht="15.75" customHeight="1">
      <c r="X333" s="15"/>
      <c r="Y333" s="15"/>
    </row>
    <row r="334" spans="24:25" ht="15.75" customHeight="1">
      <c r="X334" s="15"/>
      <c r="Y334" s="15"/>
    </row>
    <row r="335" spans="24:25" ht="15.75" customHeight="1">
      <c r="X335" s="15"/>
      <c r="Y335" s="15"/>
    </row>
    <row r="336" spans="24:25" ht="15.75" customHeight="1">
      <c r="X336" s="15"/>
      <c r="Y336" s="15"/>
    </row>
    <row r="337" spans="24:25" ht="15.75" customHeight="1">
      <c r="X337" s="15"/>
      <c r="Y337" s="15"/>
    </row>
    <row r="338" spans="24:25" ht="15.75" customHeight="1">
      <c r="X338" s="15"/>
      <c r="Y338" s="15"/>
    </row>
    <row r="339" spans="24:25" ht="15.75" customHeight="1">
      <c r="X339" s="15"/>
      <c r="Y339" s="15"/>
    </row>
    <row r="340" spans="24:25" ht="15.75" customHeight="1">
      <c r="X340" s="15"/>
      <c r="Y340" s="15"/>
    </row>
    <row r="341" spans="24:25" ht="15.75" customHeight="1">
      <c r="X341" s="15"/>
      <c r="Y341" s="15"/>
    </row>
    <row r="342" spans="24:25" ht="15.75" customHeight="1">
      <c r="X342" s="15"/>
      <c r="Y342" s="15"/>
    </row>
    <row r="343" spans="24:25" ht="15.75" customHeight="1">
      <c r="X343" s="15"/>
      <c r="Y343" s="15"/>
    </row>
    <row r="344" spans="24:25" ht="15.75" customHeight="1">
      <c r="X344" s="15"/>
      <c r="Y344" s="15"/>
    </row>
    <row r="345" spans="24:25" ht="15.75" customHeight="1">
      <c r="X345" s="15"/>
      <c r="Y345" s="15"/>
    </row>
    <row r="346" spans="24:25" ht="15.75" customHeight="1">
      <c r="X346" s="15"/>
      <c r="Y346" s="15"/>
    </row>
    <row r="347" spans="24:25" ht="15.75" customHeight="1">
      <c r="X347" s="15"/>
      <c r="Y347" s="15"/>
    </row>
    <row r="348" spans="24:25" ht="15.75" customHeight="1">
      <c r="X348" s="15"/>
      <c r="Y348" s="15"/>
    </row>
    <row r="349" spans="24:25" ht="15.75" customHeight="1">
      <c r="X349" s="15"/>
      <c r="Y349" s="15"/>
    </row>
    <row r="350" spans="24:25" ht="15.75" customHeight="1">
      <c r="X350" s="15"/>
      <c r="Y350" s="15"/>
    </row>
    <row r="351" spans="24:25" ht="15.75" customHeight="1">
      <c r="X351" s="15"/>
      <c r="Y351" s="15"/>
    </row>
    <row r="352" spans="24:25" ht="15.75" customHeight="1">
      <c r="X352" s="15"/>
      <c r="Y352" s="15"/>
    </row>
    <row r="353" spans="24:25" ht="15.75" customHeight="1">
      <c r="X353" s="15"/>
      <c r="Y353" s="15"/>
    </row>
    <row r="354" spans="24:25" ht="15.75" customHeight="1">
      <c r="X354" s="15"/>
      <c r="Y354" s="15"/>
    </row>
    <row r="355" spans="24:25" ht="15.75" customHeight="1">
      <c r="X355" s="15"/>
      <c r="Y355" s="15"/>
    </row>
    <row r="356" spans="24:25" ht="15.75" customHeight="1">
      <c r="X356" s="15"/>
      <c r="Y356" s="15"/>
    </row>
    <row r="357" spans="24:25" ht="15.75" customHeight="1">
      <c r="X357" s="15"/>
      <c r="Y357" s="15"/>
    </row>
    <row r="358" spans="24:25" ht="15.75" customHeight="1">
      <c r="X358" s="15"/>
      <c r="Y358" s="15"/>
    </row>
    <row r="359" spans="24:25" ht="15.75" customHeight="1">
      <c r="X359" s="15"/>
      <c r="Y359" s="15"/>
    </row>
    <row r="360" spans="24:25" ht="15.75" customHeight="1">
      <c r="X360" s="15"/>
      <c r="Y360" s="15"/>
    </row>
    <row r="361" spans="24:25" ht="15.75" customHeight="1">
      <c r="X361" s="15"/>
      <c r="Y361" s="15"/>
    </row>
    <row r="362" spans="24:25" ht="15.75" customHeight="1">
      <c r="X362" s="15"/>
      <c r="Y362" s="15"/>
    </row>
    <row r="363" spans="24:25" ht="15.75" customHeight="1">
      <c r="X363" s="15"/>
      <c r="Y363" s="15"/>
    </row>
    <row r="364" spans="24:25" ht="15.75" customHeight="1">
      <c r="X364" s="15"/>
      <c r="Y364" s="15"/>
    </row>
    <row r="365" spans="24:25" ht="15.75" customHeight="1">
      <c r="X365" s="15"/>
      <c r="Y365" s="15"/>
    </row>
    <row r="366" spans="24:25" ht="15.75" customHeight="1">
      <c r="X366" s="15"/>
      <c r="Y366" s="15"/>
    </row>
    <row r="367" spans="24:25" ht="15.75" customHeight="1">
      <c r="X367" s="15"/>
      <c r="Y367" s="15"/>
    </row>
    <row r="368" spans="24:25" ht="15.75" customHeight="1">
      <c r="X368" s="15"/>
      <c r="Y368" s="15"/>
    </row>
    <row r="369" spans="24:25" ht="15.75" customHeight="1">
      <c r="X369" s="15"/>
      <c r="Y369" s="15"/>
    </row>
    <row r="370" spans="24:25" ht="15.75" customHeight="1">
      <c r="X370" s="15"/>
      <c r="Y370" s="15"/>
    </row>
    <row r="371" spans="24:25" ht="15.75" customHeight="1">
      <c r="X371" s="15"/>
      <c r="Y371" s="15"/>
    </row>
    <row r="372" spans="24:25" ht="15.75" customHeight="1">
      <c r="X372" s="15"/>
      <c r="Y372" s="15"/>
    </row>
    <row r="373" spans="24:25" ht="15.75" customHeight="1">
      <c r="X373" s="15"/>
      <c r="Y373" s="15"/>
    </row>
    <row r="374" spans="24:25" ht="15.75" customHeight="1">
      <c r="X374" s="15"/>
      <c r="Y374" s="15"/>
    </row>
    <row r="375" spans="24:25" ht="15.75" customHeight="1">
      <c r="X375" s="15"/>
      <c r="Y375" s="15"/>
    </row>
    <row r="376" spans="24:25" ht="15.75" customHeight="1">
      <c r="X376" s="15"/>
      <c r="Y376" s="15"/>
    </row>
    <row r="377" spans="24:25" ht="15.75" customHeight="1">
      <c r="X377" s="15"/>
      <c r="Y377" s="15"/>
    </row>
    <row r="378" spans="24:25" ht="15.75" customHeight="1">
      <c r="X378" s="15"/>
      <c r="Y378" s="15"/>
    </row>
    <row r="379" spans="24:25" ht="15.75" customHeight="1">
      <c r="X379" s="15"/>
      <c r="Y379" s="15"/>
    </row>
    <row r="380" spans="24:25" ht="15.75" customHeight="1">
      <c r="X380" s="15"/>
      <c r="Y380" s="15"/>
    </row>
    <row r="381" spans="24:25" ht="15.75" customHeight="1">
      <c r="X381" s="15"/>
      <c r="Y381" s="15"/>
    </row>
    <row r="382" spans="24:25" ht="15.75" customHeight="1">
      <c r="X382" s="15"/>
      <c r="Y382" s="15"/>
    </row>
    <row r="383" spans="24:25" ht="15.75" customHeight="1">
      <c r="X383" s="15"/>
      <c r="Y383" s="15"/>
    </row>
    <row r="384" spans="24:25" ht="15.75" customHeight="1">
      <c r="X384" s="15"/>
      <c r="Y384" s="15"/>
    </row>
    <row r="385" spans="24:25" ht="15.75" customHeight="1">
      <c r="X385" s="15"/>
      <c r="Y385" s="15"/>
    </row>
    <row r="386" spans="24:25" ht="15.75" customHeight="1">
      <c r="X386" s="15"/>
      <c r="Y386" s="15"/>
    </row>
    <row r="387" spans="24:25" ht="15.75" customHeight="1">
      <c r="X387" s="15"/>
      <c r="Y387" s="15"/>
    </row>
    <row r="388" spans="24:25" ht="15.75" customHeight="1">
      <c r="X388" s="15"/>
      <c r="Y388" s="15"/>
    </row>
    <row r="389" spans="24:25" ht="15.75" customHeight="1">
      <c r="X389" s="15"/>
      <c r="Y389" s="15"/>
    </row>
    <row r="390" spans="24:25" ht="15.75" customHeight="1">
      <c r="X390" s="15"/>
      <c r="Y390" s="15"/>
    </row>
    <row r="391" spans="24:25" ht="15.75" customHeight="1">
      <c r="X391" s="15"/>
      <c r="Y391" s="15"/>
    </row>
    <row r="392" spans="24:25" ht="15.75" customHeight="1">
      <c r="X392" s="15"/>
      <c r="Y392" s="15"/>
    </row>
    <row r="393" spans="24:25" ht="15.75" customHeight="1">
      <c r="X393" s="15"/>
      <c r="Y393" s="15"/>
    </row>
    <row r="394" spans="24:25" ht="15.75" customHeight="1">
      <c r="X394" s="15"/>
      <c r="Y394" s="15"/>
    </row>
    <row r="395" spans="24:25" ht="15.75" customHeight="1">
      <c r="X395" s="15"/>
      <c r="Y395" s="15"/>
    </row>
    <row r="396" spans="24:25" ht="15.75" customHeight="1">
      <c r="X396" s="15"/>
      <c r="Y396" s="15"/>
    </row>
    <row r="397" spans="24:25" ht="15.75" customHeight="1">
      <c r="X397" s="15"/>
      <c r="Y397" s="15"/>
    </row>
    <row r="398" spans="24:25" ht="15.75" customHeight="1">
      <c r="X398" s="15"/>
      <c r="Y398" s="15"/>
    </row>
    <row r="399" spans="24:25" ht="15.75" customHeight="1">
      <c r="X399" s="15"/>
      <c r="Y399" s="15"/>
    </row>
    <row r="400" spans="24:25" ht="15.75" customHeight="1">
      <c r="X400" s="15"/>
      <c r="Y400" s="15"/>
    </row>
    <row r="401" spans="24:25" ht="15.75" customHeight="1">
      <c r="X401" s="15"/>
      <c r="Y401" s="15"/>
    </row>
    <row r="402" spans="24:25" ht="15.75" customHeight="1">
      <c r="X402" s="15"/>
      <c r="Y402" s="15"/>
    </row>
    <row r="403" spans="24:25" ht="15.75" customHeight="1">
      <c r="X403" s="15"/>
      <c r="Y403" s="15"/>
    </row>
    <row r="404" spans="24:25" ht="15.75" customHeight="1">
      <c r="X404" s="15"/>
      <c r="Y404" s="15"/>
    </row>
    <row r="405" spans="24:25" ht="15.75" customHeight="1">
      <c r="X405" s="15"/>
      <c r="Y405" s="15"/>
    </row>
    <row r="406" spans="24:25" ht="15.75" customHeight="1">
      <c r="X406" s="15"/>
      <c r="Y406" s="15"/>
    </row>
    <row r="407" spans="24:25" ht="15.75" customHeight="1">
      <c r="X407" s="15"/>
      <c r="Y407" s="15"/>
    </row>
    <row r="408" spans="24:25" ht="15.75" customHeight="1">
      <c r="X408" s="15"/>
      <c r="Y408" s="15"/>
    </row>
    <row r="409" spans="24:25" ht="15.75" customHeight="1">
      <c r="X409" s="15"/>
      <c r="Y409" s="15"/>
    </row>
    <row r="410" spans="24:25" ht="15.75" customHeight="1">
      <c r="X410" s="15"/>
      <c r="Y410" s="15"/>
    </row>
    <row r="411" spans="24:25" ht="15.75" customHeight="1">
      <c r="X411" s="15"/>
      <c r="Y411" s="15"/>
    </row>
    <row r="412" spans="24:25" ht="15.75" customHeight="1">
      <c r="X412" s="15"/>
      <c r="Y412" s="15"/>
    </row>
    <row r="413" spans="24:25" ht="15.75" customHeight="1">
      <c r="X413" s="15"/>
      <c r="Y413" s="15"/>
    </row>
    <row r="414" spans="24:25" ht="15.75" customHeight="1">
      <c r="X414" s="15"/>
      <c r="Y414" s="15"/>
    </row>
    <row r="415" spans="24:25" ht="15.75" customHeight="1">
      <c r="X415" s="15"/>
      <c r="Y415" s="15"/>
    </row>
    <row r="416" spans="24:25" ht="15.75" customHeight="1">
      <c r="X416" s="15"/>
      <c r="Y416" s="15"/>
    </row>
    <row r="417" spans="24:25" ht="15.75" customHeight="1">
      <c r="X417" s="15"/>
      <c r="Y417" s="15"/>
    </row>
    <row r="418" spans="24:25" ht="15.75" customHeight="1">
      <c r="X418" s="15"/>
      <c r="Y418" s="15"/>
    </row>
    <row r="419" spans="24:25" ht="15.75" customHeight="1">
      <c r="X419" s="15"/>
      <c r="Y419" s="15"/>
    </row>
    <row r="420" spans="24:25" ht="15.75" customHeight="1">
      <c r="X420" s="15"/>
      <c r="Y420" s="15"/>
    </row>
    <row r="421" spans="24:25" ht="15.75" customHeight="1">
      <c r="X421" s="15"/>
      <c r="Y421" s="15"/>
    </row>
    <row r="422" spans="24:25" ht="15.75" customHeight="1">
      <c r="X422" s="15"/>
      <c r="Y422" s="15"/>
    </row>
    <row r="423" spans="24:25" ht="15.75" customHeight="1">
      <c r="X423" s="15"/>
      <c r="Y423" s="15"/>
    </row>
    <row r="424" spans="24:25" ht="15.75" customHeight="1">
      <c r="X424" s="15"/>
      <c r="Y424" s="15"/>
    </row>
    <row r="425" spans="24:25" ht="15.75" customHeight="1">
      <c r="X425" s="15"/>
      <c r="Y425" s="15"/>
    </row>
    <row r="426" spans="24:25" ht="15.75" customHeight="1">
      <c r="X426" s="15"/>
      <c r="Y426" s="15"/>
    </row>
    <row r="427" spans="24:25" ht="15.75" customHeight="1">
      <c r="X427" s="15"/>
      <c r="Y427" s="15"/>
    </row>
    <row r="428" spans="24:25" ht="15.75" customHeight="1">
      <c r="X428" s="15"/>
      <c r="Y428" s="15"/>
    </row>
    <row r="429" spans="24:25" ht="15.75" customHeight="1">
      <c r="X429" s="15"/>
      <c r="Y429" s="15"/>
    </row>
    <row r="430" spans="24:25" ht="15.75" customHeight="1">
      <c r="X430" s="15"/>
      <c r="Y430" s="15"/>
    </row>
    <row r="431" spans="24:25" ht="15.75" customHeight="1">
      <c r="X431" s="15"/>
      <c r="Y431" s="15"/>
    </row>
    <row r="432" spans="24:25" ht="15.75" customHeight="1">
      <c r="X432" s="15"/>
      <c r="Y432" s="15"/>
    </row>
    <row r="433" spans="24:25" ht="15.75" customHeight="1">
      <c r="X433" s="15"/>
      <c r="Y433" s="15"/>
    </row>
    <row r="434" spans="24:25" ht="15.75" customHeight="1">
      <c r="X434" s="15"/>
      <c r="Y434" s="15"/>
    </row>
    <row r="435" spans="24:25" ht="15.75" customHeight="1">
      <c r="X435" s="15"/>
      <c r="Y435" s="15"/>
    </row>
    <row r="436" spans="24:25" ht="15.75" customHeight="1">
      <c r="X436" s="15"/>
      <c r="Y436" s="15"/>
    </row>
    <row r="437" spans="24:25" ht="15.75" customHeight="1">
      <c r="X437" s="15"/>
      <c r="Y437" s="15"/>
    </row>
    <row r="438" spans="24:25" ht="15.75" customHeight="1">
      <c r="X438" s="15"/>
      <c r="Y438" s="15"/>
    </row>
    <row r="439" spans="24:25" ht="15.75" customHeight="1">
      <c r="X439" s="15"/>
      <c r="Y439" s="15"/>
    </row>
    <row r="440" spans="24:25" ht="15.75" customHeight="1">
      <c r="X440" s="15"/>
      <c r="Y440" s="15"/>
    </row>
    <row r="441" spans="24:25" ht="15.75" customHeight="1">
      <c r="X441" s="15"/>
      <c r="Y441" s="15"/>
    </row>
    <row r="442" spans="24:25" ht="15.75" customHeight="1">
      <c r="X442" s="15"/>
      <c r="Y442" s="15"/>
    </row>
    <row r="443" spans="24:25" ht="15.75" customHeight="1">
      <c r="X443" s="15"/>
      <c r="Y443" s="15"/>
    </row>
    <row r="444" spans="24:25" ht="15.75" customHeight="1">
      <c r="X444" s="15"/>
      <c r="Y444" s="15"/>
    </row>
    <row r="445" spans="24:25" ht="15.75" customHeight="1">
      <c r="X445" s="15"/>
      <c r="Y445" s="15"/>
    </row>
    <row r="446" spans="24:25" ht="15.75" customHeight="1">
      <c r="X446" s="15"/>
      <c r="Y446" s="15"/>
    </row>
    <row r="447" spans="24:25" ht="15.75" customHeight="1">
      <c r="X447" s="15"/>
      <c r="Y447" s="15"/>
    </row>
    <row r="448" spans="24:25" ht="15.75" customHeight="1">
      <c r="X448" s="15"/>
      <c r="Y448" s="15"/>
    </row>
    <row r="449" spans="24:25" ht="15.75" customHeight="1">
      <c r="X449" s="15"/>
      <c r="Y449" s="15"/>
    </row>
    <row r="450" spans="24:25" ht="15.75" customHeight="1">
      <c r="X450" s="15"/>
      <c r="Y450" s="15"/>
    </row>
    <row r="451" spans="24:25" ht="15.75" customHeight="1">
      <c r="X451" s="15"/>
      <c r="Y451" s="15"/>
    </row>
    <row r="452" spans="24:25" ht="15.75" customHeight="1">
      <c r="X452" s="15"/>
      <c r="Y452" s="15"/>
    </row>
    <row r="453" spans="24:25" ht="15.75" customHeight="1">
      <c r="X453" s="15"/>
      <c r="Y453" s="15"/>
    </row>
    <row r="454" spans="24:25" ht="15.75" customHeight="1">
      <c r="X454" s="15"/>
      <c r="Y454" s="15"/>
    </row>
    <row r="455" spans="24:25" ht="15.75" customHeight="1">
      <c r="X455" s="15"/>
      <c r="Y455" s="15"/>
    </row>
    <row r="456" spans="24:25" ht="15.75" customHeight="1">
      <c r="X456" s="15"/>
      <c r="Y456" s="15"/>
    </row>
    <row r="457" spans="24:25" ht="15.75" customHeight="1">
      <c r="X457" s="15"/>
      <c r="Y457" s="15"/>
    </row>
    <row r="458" spans="24:25" ht="15.75" customHeight="1">
      <c r="X458" s="15"/>
      <c r="Y458" s="15"/>
    </row>
    <row r="459" spans="24:25" ht="15.75" customHeight="1">
      <c r="X459" s="15"/>
      <c r="Y459" s="15"/>
    </row>
    <row r="460" spans="24:25" ht="15.75" customHeight="1">
      <c r="X460" s="15"/>
      <c r="Y460" s="15"/>
    </row>
    <row r="461" spans="24:25" ht="15.75" customHeight="1">
      <c r="X461" s="15"/>
      <c r="Y461" s="15"/>
    </row>
    <row r="462" spans="24:25" ht="15.75" customHeight="1">
      <c r="X462" s="15"/>
      <c r="Y462" s="15"/>
    </row>
    <row r="463" spans="24:25" ht="15.75" customHeight="1">
      <c r="X463" s="15"/>
      <c r="Y463" s="15"/>
    </row>
    <row r="464" spans="24:25" ht="15.75" customHeight="1">
      <c r="X464" s="15"/>
      <c r="Y464" s="15"/>
    </row>
    <row r="465" spans="24:25" ht="15.75" customHeight="1">
      <c r="X465" s="15"/>
      <c r="Y465" s="15"/>
    </row>
    <row r="466" spans="24:25" ht="15.75" customHeight="1">
      <c r="X466" s="15"/>
      <c r="Y466" s="15"/>
    </row>
    <row r="467" spans="24:25" ht="15.75" customHeight="1">
      <c r="X467" s="15"/>
      <c r="Y467" s="15"/>
    </row>
    <row r="468" spans="24:25" ht="15.75" customHeight="1">
      <c r="X468" s="15"/>
      <c r="Y468" s="15"/>
    </row>
    <row r="469" spans="24:25" ht="15.75" customHeight="1">
      <c r="X469" s="15"/>
      <c r="Y469" s="15"/>
    </row>
    <row r="470" spans="24:25" ht="15.75" customHeight="1">
      <c r="X470" s="15"/>
      <c r="Y470" s="15"/>
    </row>
    <row r="471" spans="24:25" ht="15.75" customHeight="1">
      <c r="X471" s="15"/>
      <c r="Y471" s="15"/>
    </row>
    <row r="472" spans="24:25" ht="15.75" customHeight="1">
      <c r="X472" s="15"/>
      <c r="Y472" s="15"/>
    </row>
    <row r="473" spans="24:25" ht="15.75" customHeight="1">
      <c r="X473" s="15"/>
      <c r="Y473" s="15"/>
    </row>
    <row r="474" spans="24:25" ht="15.75" customHeight="1">
      <c r="X474" s="15"/>
      <c r="Y474" s="15"/>
    </row>
    <row r="475" spans="24:25" ht="15.75" customHeight="1">
      <c r="X475" s="15"/>
      <c r="Y475" s="15"/>
    </row>
    <row r="476" spans="24:25" ht="15.75" customHeight="1">
      <c r="X476" s="15"/>
      <c r="Y476" s="15"/>
    </row>
    <row r="477" spans="24:25" ht="15.75" customHeight="1">
      <c r="X477" s="15"/>
      <c r="Y477" s="15"/>
    </row>
    <row r="478" spans="24:25" ht="15.75" customHeight="1">
      <c r="X478" s="15"/>
      <c r="Y478" s="15"/>
    </row>
    <row r="479" spans="24:25" ht="15.75" customHeight="1">
      <c r="X479" s="15"/>
      <c r="Y479" s="15"/>
    </row>
    <row r="480" spans="24:25" ht="15.75" customHeight="1">
      <c r="X480" s="15"/>
      <c r="Y480" s="15"/>
    </row>
    <row r="481" spans="24:25" ht="15.75" customHeight="1">
      <c r="X481" s="15"/>
      <c r="Y481" s="15"/>
    </row>
    <row r="482" spans="24:25" ht="15.75" customHeight="1">
      <c r="X482" s="15"/>
      <c r="Y482" s="15"/>
    </row>
    <row r="483" spans="24:25" ht="15.75" customHeight="1">
      <c r="X483" s="15"/>
      <c r="Y483" s="15"/>
    </row>
    <row r="484" spans="24:25" ht="15.75" customHeight="1">
      <c r="X484" s="15"/>
      <c r="Y484" s="15"/>
    </row>
    <row r="485" spans="24:25" ht="15.75" customHeight="1">
      <c r="X485" s="15"/>
      <c r="Y485" s="15"/>
    </row>
    <row r="486" spans="24:25" ht="15.75" customHeight="1">
      <c r="X486" s="15"/>
      <c r="Y486" s="15"/>
    </row>
    <row r="487" spans="24:25" ht="15.75" customHeight="1">
      <c r="X487" s="15"/>
      <c r="Y487" s="15"/>
    </row>
    <row r="488" spans="24:25" ht="15.75" customHeight="1">
      <c r="X488" s="15"/>
      <c r="Y488" s="15"/>
    </row>
    <row r="489" spans="24:25" ht="15.75" customHeight="1">
      <c r="X489" s="15"/>
      <c r="Y489" s="15"/>
    </row>
    <row r="490" spans="24:25" ht="15.75" customHeight="1">
      <c r="X490" s="15"/>
      <c r="Y490" s="15"/>
    </row>
    <row r="491" spans="24:25" ht="15.75" customHeight="1">
      <c r="X491" s="15"/>
      <c r="Y491" s="15"/>
    </row>
    <row r="492" spans="24:25" ht="15.75" customHeight="1">
      <c r="X492" s="15"/>
      <c r="Y492" s="15"/>
    </row>
    <row r="493" spans="24:25" ht="15.75" customHeight="1">
      <c r="X493" s="15"/>
      <c r="Y493" s="15"/>
    </row>
    <row r="494" spans="24:25" ht="15.75" customHeight="1">
      <c r="X494" s="15"/>
      <c r="Y494" s="15"/>
    </row>
    <row r="495" spans="24:25" ht="15.75" customHeight="1">
      <c r="X495" s="15"/>
      <c r="Y495" s="15"/>
    </row>
    <row r="496" spans="24:25" ht="15.75" customHeight="1">
      <c r="X496" s="15"/>
      <c r="Y496" s="15"/>
    </row>
    <row r="497" spans="24:25" ht="15.75" customHeight="1">
      <c r="X497" s="15"/>
      <c r="Y497" s="15"/>
    </row>
    <row r="498" spans="24:25" ht="15.75" customHeight="1">
      <c r="X498" s="15"/>
      <c r="Y498" s="15"/>
    </row>
    <row r="499" spans="24:25" ht="15.75" customHeight="1">
      <c r="X499" s="15"/>
      <c r="Y499" s="15"/>
    </row>
    <row r="500" spans="24:25" ht="15.75" customHeight="1">
      <c r="X500" s="15"/>
      <c r="Y500" s="15"/>
    </row>
    <row r="501" spans="24:25" ht="15.75" customHeight="1">
      <c r="X501" s="15"/>
      <c r="Y501" s="15"/>
    </row>
    <row r="502" spans="24:25" ht="15.75" customHeight="1">
      <c r="X502" s="15"/>
      <c r="Y502" s="15"/>
    </row>
    <row r="503" spans="24:25" ht="15.75" customHeight="1">
      <c r="X503" s="15"/>
      <c r="Y503" s="15"/>
    </row>
    <row r="504" spans="24:25" ht="15.75" customHeight="1">
      <c r="X504" s="15"/>
      <c r="Y504" s="15"/>
    </row>
    <row r="505" spans="24:25" ht="15.75" customHeight="1">
      <c r="X505" s="15"/>
      <c r="Y505" s="15"/>
    </row>
    <row r="506" spans="24:25" ht="15.75" customHeight="1">
      <c r="X506" s="15"/>
      <c r="Y506" s="15"/>
    </row>
    <row r="507" spans="24:25" ht="15.75" customHeight="1">
      <c r="X507" s="15"/>
      <c r="Y507" s="15"/>
    </row>
    <row r="508" spans="24:25" ht="15.75" customHeight="1">
      <c r="X508" s="15"/>
      <c r="Y508" s="15"/>
    </row>
    <row r="509" spans="24:25" ht="15.75" customHeight="1">
      <c r="X509" s="15"/>
      <c r="Y509" s="15"/>
    </row>
    <row r="510" spans="24:25" ht="15.75" customHeight="1">
      <c r="X510" s="15"/>
      <c r="Y510" s="15"/>
    </row>
    <row r="511" spans="24:25" ht="15.75" customHeight="1">
      <c r="X511" s="15"/>
      <c r="Y511" s="15"/>
    </row>
    <row r="512" spans="24:25" ht="15.75" customHeight="1">
      <c r="X512" s="15"/>
      <c r="Y512" s="15"/>
    </row>
    <row r="513" spans="24:25" ht="15.75" customHeight="1">
      <c r="X513" s="15"/>
      <c r="Y513" s="15"/>
    </row>
    <row r="514" spans="24:25" ht="15.75" customHeight="1">
      <c r="X514" s="15"/>
      <c r="Y514" s="15"/>
    </row>
    <row r="515" spans="24:25" ht="15.75" customHeight="1">
      <c r="X515" s="15"/>
      <c r="Y515" s="15"/>
    </row>
    <row r="516" spans="24:25" ht="15.75" customHeight="1">
      <c r="X516" s="15"/>
      <c r="Y516" s="15"/>
    </row>
    <row r="517" spans="24:25" ht="15.75" customHeight="1">
      <c r="X517" s="15"/>
      <c r="Y517" s="15"/>
    </row>
    <row r="518" spans="24:25" ht="15.75" customHeight="1">
      <c r="X518" s="15"/>
      <c r="Y518" s="15"/>
    </row>
    <row r="519" spans="24:25" ht="15.75" customHeight="1">
      <c r="X519" s="15"/>
      <c r="Y519" s="15"/>
    </row>
    <row r="520" spans="24:25" ht="15.75" customHeight="1">
      <c r="X520" s="15"/>
      <c r="Y520" s="15"/>
    </row>
    <row r="521" spans="24:25" ht="15.75" customHeight="1">
      <c r="X521" s="15"/>
      <c r="Y521" s="15"/>
    </row>
    <row r="522" spans="24:25" ht="15.75" customHeight="1">
      <c r="X522" s="15"/>
      <c r="Y522" s="15"/>
    </row>
    <row r="523" spans="24:25" ht="15.75" customHeight="1">
      <c r="X523" s="15"/>
      <c r="Y523" s="15"/>
    </row>
    <row r="524" spans="24:25" ht="15.75" customHeight="1">
      <c r="X524" s="15"/>
      <c r="Y524" s="15"/>
    </row>
    <row r="525" spans="24:25" ht="15.75" customHeight="1">
      <c r="X525" s="15"/>
      <c r="Y525" s="15"/>
    </row>
    <row r="526" spans="24:25" ht="15.75" customHeight="1">
      <c r="X526" s="15"/>
      <c r="Y526" s="15"/>
    </row>
    <row r="527" spans="24:25" ht="15.75" customHeight="1">
      <c r="X527" s="15"/>
      <c r="Y527" s="15"/>
    </row>
    <row r="528" spans="24:25" ht="15.75" customHeight="1">
      <c r="X528" s="15"/>
      <c r="Y528" s="15"/>
    </row>
    <row r="529" spans="24:25" ht="15.75" customHeight="1">
      <c r="X529" s="15"/>
      <c r="Y529" s="15"/>
    </row>
    <row r="530" spans="24:25" ht="15.75" customHeight="1">
      <c r="X530" s="15"/>
      <c r="Y530" s="15"/>
    </row>
    <row r="531" spans="24:25" ht="15.75" customHeight="1">
      <c r="X531" s="15"/>
      <c r="Y531" s="15"/>
    </row>
    <row r="532" spans="24:25" ht="15.75" customHeight="1">
      <c r="X532" s="15"/>
      <c r="Y532" s="15"/>
    </row>
    <row r="533" spans="24:25" ht="15.75" customHeight="1">
      <c r="X533" s="15"/>
      <c r="Y533" s="15"/>
    </row>
    <row r="534" spans="24:25" ht="15.75" customHeight="1">
      <c r="X534" s="15"/>
      <c r="Y534" s="15"/>
    </row>
    <row r="535" spans="24:25" ht="15.75" customHeight="1">
      <c r="X535" s="15"/>
      <c r="Y535" s="15"/>
    </row>
    <row r="536" spans="24:25" ht="15.75" customHeight="1">
      <c r="X536" s="15"/>
      <c r="Y536" s="15"/>
    </row>
    <row r="537" spans="24:25" ht="15.75" customHeight="1">
      <c r="X537" s="15"/>
      <c r="Y537" s="15"/>
    </row>
    <row r="538" spans="24:25" ht="15.75" customHeight="1">
      <c r="X538" s="15"/>
      <c r="Y538" s="15"/>
    </row>
    <row r="539" spans="24:25" ht="15.75" customHeight="1">
      <c r="X539" s="15"/>
      <c r="Y539" s="15"/>
    </row>
    <row r="540" spans="24:25" ht="15.75" customHeight="1">
      <c r="X540" s="15"/>
      <c r="Y540" s="15"/>
    </row>
    <row r="541" spans="24:25" ht="15.75" customHeight="1">
      <c r="X541" s="15"/>
      <c r="Y541" s="15"/>
    </row>
    <row r="542" spans="24:25" ht="15.75" customHeight="1">
      <c r="X542" s="15"/>
      <c r="Y542" s="15"/>
    </row>
    <row r="543" spans="24:25" ht="15.75" customHeight="1">
      <c r="X543" s="15"/>
      <c r="Y543" s="15"/>
    </row>
    <row r="544" spans="24:25" ht="15.75" customHeight="1">
      <c r="X544" s="15"/>
      <c r="Y544" s="15"/>
    </row>
    <row r="545" spans="24:25" ht="15.75" customHeight="1">
      <c r="X545" s="15"/>
      <c r="Y545" s="15"/>
    </row>
    <row r="546" spans="24:25" ht="15.75" customHeight="1">
      <c r="X546" s="15"/>
      <c r="Y546" s="15"/>
    </row>
    <row r="547" spans="24:25" ht="15.75" customHeight="1">
      <c r="X547" s="15"/>
      <c r="Y547" s="15"/>
    </row>
    <row r="548" spans="24:25" ht="15.75" customHeight="1">
      <c r="X548" s="15"/>
      <c r="Y548" s="15"/>
    </row>
    <row r="549" spans="24:25" ht="15.75" customHeight="1">
      <c r="X549" s="15"/>
      <c r="Y549" s="15"/>
    </row>
    <row r="550" spans="24:25" ht="15.75" customHeight="1">
      <c r="X550" s="15"/>
      <c r="Y550" s="15"/>
    </row>
    <row r="551" spans="24:25" ht="15.75" customHeight="1">
      <c r="X551" s="15"/>
      <c r="Y551" s="15"/>
    </row>
    <row r="552" spans="24:25" ht="15.75" customHeight="1">
      <c r="X552" s="15"/>
      <c r="Y552" s="15"/>
    </row>
    <row r="553" spans="24:25" ht="15.75" customHeight="1">
      <c r="X553" s="15"/>
      <c r="Y553" s="15"/>
    </row>
    <row r="554" spans="24:25" ht="15.75" customHeight="1">
      <c r="X554" s="15"/>
      <c r="Y554" s="15"/>
    </row>
    <row r="555" spans="24:25" ht="15.75" customHeight="1">
      <c r="X555" s="15"/>
      <c r="Y555" s="15"/>
    </row>
    <row r="556" spans="24:25" ht="15.75" customHeight="1">
      <c r="X556" s="15"/>
      <c r="Y556" s="15"/>
    </row>
    <row r="557" spans="24:25" ht="15.75" customHeight="1">
      <c r="X557" s="15"/>
      <c r="Y557" s="15"/>
    </row>
    <row r="558" spans="24:25" ht="15.75" customHeight="1">
      <c r="X558" s="15"/>
      <c r="Y558" s="15"/>
    </row>
    <row r="559" spans="24:25" ht="15.75" customHeight="1">
      <c r="X559" s="15"/>
      <c r="Y559" s="15"/>
    </row>
    <row r="560" spans="24:25" ht="15.75" customHeight="1">
      <c r="X560" s="15"/>
      <c r="Y560" s="15"/>
    </row>
    <row r="561" spans="24:25" ht="15.75" customHeight="1">
      <c r="X561" s="15"/>
      <c r="Y561" s="15"/>
    </row>
    <row r="562" spans="24:25" ht="15.75" customHeight="1">
      <c r="X562" s="15"/>
      <c r="Y562" s="15"/>
    </row>
    <row r="563" spans="24:25" ht="15.75" customHeight="1">
      <c r="X563" s="15"/>
      <c r="Y563" s="15"/>
    </row>
    <row r="564" spans="24:25" ht="15.75" customHeight="1">
      <c r="X564" s="15"/>
      <c r="Y564" s="15"/>
    </row>
    <row r="565" spans="24:25" ht="15.75" customHeight="1">
      <c r="X565" s="15"/>
      <c r="Y565" s="15"/>
    </row>
    <row r="566" spans="24:25" ht="15.75" customHeight="1">
      <c r="X566" s="15"/>
      <c r="Y566" s="15"/>
    </row>
    <row r="567" spans="24:25" ht="15.75" customHeight="1">
      <c r="X567" s="15"/>
      <c r="Y567" s="15"/>
    </row>
    <row r="568" spans="24:25" ht="15.75" customHeight="1">
      <c r="X568" s="15"/>
      <c r="Y568" s="15"/>
    </row>
    <row r="569" spans="24:25" ht="15.75" customHeight="1">
      <c r="X569" s="15"/>
      <c r="Y569" s="15"/>
    </row>
    <row r="570" spans="24:25" ht="15.75" customHeight="1">
      <c r="X570" s="15"/>
      <c r="Y570" s="15"/>
    </row>
    <row r="571" spans="24:25" ht="15.75" customHeight="1">
      <c r="X571" s="15"/>
      <c r="Y571" s="15"/>
    </row>
    <row r="572" spans="24:25" ht="15.75" customHeight="1">
      <c r="X572" s="15"/>
      <c r="Y572" s="15"/>
    </row>
    <row r="573" spans="24:25" ht="15.75" customHeight="1">
      <c r="X573" s="15"/>
      <c r="Y573" s="15"/>
    </row>
    <row r="574" spans="24:25" ht="15.75" customHeight="1">
      <c r="X574" s="15"/>
      <c r="Y574" s="15"/>
    </row>
    <row r="575" spans="24:25" ht="15.75" customHeight="1">
      <c r="X575" s="15"/>
      <c r="Y575" s="15"/>
    </row>
    <row r="576" spans="24:25" ht="15.75" customHeight="1">
      <c r="X576" s="15"/>
      <c r="Y576" s="15"/>
    </row>
    <row r="577" spans="24:25" ht="15.75" customHeight="1">
      <c r="X577" s="15"/>
      <c r="Y577" s="15"/>
    </row>
    <row r="578" spans="24:25" ht="15.75" customHeight="1">
      <c r="X578" s="15"/>
      <c r="Y578" s="15"/>
    </row>
    <row r="579" spans="24:25" ht="15.75" customHeight="1">
      <c r="X579" s="15"/>
      <c r="Y579" s="15"/>
    </row>
    <row r="580" spans="24:25" ht="15.75" customHeight="1">
      <c r="X580" s="15"/>
      <c r="Y580" s="15"/>
    </row>
    <row r="581" spans="24:25" ht="15.75" customHeight="1">
      <c r="X581" s="15"/>
      <c r="Y581" s="15"/>
    </row>
    <row r="582" spans="24:25" ht="15.75" customHeight="1">
      <c r="X582" s="15"/>
      <c r="Y582" s="15"/>
    </row>
    <row r="583" spans="24:25" ht="15.75" customHeight="1">
      <c r="X583" s="15"/>
      <c r="Y583" s="15"/>
    </row>
    <row r="584" spans="24:25" ht="15.75" customHeight="1">
      <c r="X584" s="15"/>
      <c r="Y584" s="15"/>
    </row>
    <row r="585" spans="24:25" ht="15.75" customHeight="1">
      <c r="X585" s="15"/>
      <c r="Y585" s="15"/>
    </row>
    <row r="586" spans="24:25" ht="15.75" customHeight="1">
      <c r="X586" s="15"/>
      <c r="Y586" s="15"/>
    </row>
    <row r="587" spans="24:25" ht="15.75" customHeight="1">
      <c r="X587" s="15"/>
      <c r="Y587" s="15"/>
    </row>
    <row r="588" spans="24:25" ht="15.75" customHeight="1">
      <c r="X588" s="15"/>
      <c r="Y588" s="15"/>
    </row>
    <row r="589" spans="24:25" ht="15.75" customHeight="1">
      <c r="X589" s="15"/>
      <c r="Y589" s="15"/>
    </row>
    <row r="590" spans="24:25" ht="15.75" customHeight="1">
      <c r="X590" s="15"/>
      <c r="Y590" s="15"/>
    </row>
    <row r="591" spans="24:25" ht="15.75" customHeight="1">
      <c r="X591" s="15"/>
      <c r="Y591" s="15"/>
    </row>
    <row r="592" spans="24:25" ht="15.75" customHeight="1">
      <c r="X592" s="15"/>
      <c r="Y592" s="15"/>
    </row>
    <row r="593" spans="24:25" ht="15.75" customHeight="1">
      <c r="X593" s="15"/>
      <c r="Y593" s="15"/>
    </row>
    <row r="594" spans="24:25" ht="15.75" customHeight="1">
      <c r="X594" s="15"/>
      <c r="Y594" s="15"/>
    </row>
    <row r="595" spans="24:25" ht="15.75" customHeight="1">
      <c r="X595" s="15"/>
      <c r="Y595" s="15"/>
    </row>
    <row r="596" spans="24:25" ht="15.75" customHeight="1">
      <c r="X596" s="15"/>
      <c r="Y596" s="15"/>
    </row>
    <row r="597" spans="24:25" ht="15.75" customHeight="1">
      <c r="X597" s="15"/>
      <c r="Y597" s="15"/>
    </row>
    <row r="598" spans="24:25" ht="15.75" customHeight="1">
      <c r="X598" s="15"/>
      <c r="Y598" s="15"/>
    </row>
    <row r="599" spans="24:25" ht="15.75" customHeight="1">
      <c r="X599" s="15"/>
      <c r="Y599" s="15"/>
    </row>
    <row r="600" spans="24:25" ht="15.75" customHeight="1">
      <c r="X600" s="15"/>
      <c r="Y600" s="15"/>
    </row>
    <row r="601" spans="24:25" ht="15.75" customHeight="1">
      <c r="X601" s="15"/>
      <c r="Y601" s="15"/>
    </row>
    <row r="602" spans="24:25" ht="15.75" customHeight="1">
      <c r="X602" s="15"/>
      <c r="Y602" s="15"/>
    </row>
    <row r="603" spans="24:25" ht="15.75" customHeight="1">
      <c r="X603" s="15"/>
      <c r="Y603" s="15"/>
    </row>
    <row r="604" spans="24:25" ht="15.75" customHeight="1">
      <c r="X604" s="15"/>
      <c r="Y604" s="15"/>
    </row>
    <row r="605" spans="24:25" ht="15.75" customHeight="1">
      <c r="X605" s="15"/>
      <c r="Y605" s="15"/>
    </row>
    <row r="606" spans="24:25" ht="15.75" customHeight="1">
      <c r="X606" s="15"/>
      <c r="Y606" s="15"/>
    </row>
    <row r="607" spans="24:25" ht="15.75" customHeight="1">
      <c r="X607" s="15"/>
      <c r="Y607" s="15"/>
    </row>
    <row r="608" spans="24:25" ht="15.75" customHeight="1">
      <c r="X608" s="15"/>
      <c r="Y608" s="15"/>
    </row>
    <row r="609" spans="24:25" ht="15.75" customHeight="1">
      <c r="X609" s="15"/>
      <c r="Y609" s="15"/>
    </row>
    <row r="610" spans="24:25" ht="15.75" customHeight="1">
      <c r="X610" s="15"/>
      <c r="Y610" s="15"/>
    </row>
    <row r="611" spans="24:25" ht="15.75" customHeight="1">
      <c r="X611" s="15"/>
      <c r="Y611" s="15"/>
    </row>
    <row r="612" spans="24:25" ht="15.75" customHeight="1">
      <c r="X612" s="15"/>
      <c r="Y612" s="15"/>
    </row>
    <row r="613" spans="24:25" ht="15.75" customHeight="1">
      <c r="X613" s="15"/>
      <c r="Y613" s="15"/>
    </row>
    <row r="614" spans="24:25" ht="15.75" customHeight="1">
      <c r="X614" s="15"/>
      <c r="Y614" s="15"/>
    </row>
    <row r="615" spans="24:25" ht="15.75" customHeight="1">
      <c r="X615" s="15"/>
      <c r="Y615" s="15"/>
    </row>
    <row r="616" spans="24:25" ht="15.75" customHeight="1">
      <c r="X616" s="15"/>
      <c r="Y616" s="15"/>
    </row>
    <row r="617" spans="24:25" ht="15.75" customHeight="1">
      <c r="X617" s="15"/>
      <c r="Y617" s="15"/>
    </row>
    <row r="618" spans="24:25" ht="15.75" customHeight="1">
      <c r="X618" s="15"/>
      <c r="Y618" s="15"/>
    </row>
    <row r="619" spans="24:25" ht="15.75" customHeight="1">
      <c r="X619" s="15"/>
      <c r="Y619" s="15"/>
    </row>
    <row r="620" spans="24:25" ht="15.75" customHeight="1">
      <c r="X620" s="15"/>
      <c r="Y620" s="15"/>
    </row>
    <row r="621" spans="24:25" ht="15.75" customHeight="1">
      <c r="X621" s="15"/>
      <c r="Y621" s="15"/>
    </row>
    <row r="622" spans="24:25" ht="15.75" customHeight="1">
      <c r="X622" s="15"/>
      <c r="Y622" s="15"/>
    </row>
    <row r="623" spans="24:25" ht="15.75" customHeight="1">
      <c r="X623" s="15"/>
      <c r="Y623" s="15"/>
    </row>
    <row r="624" spans="24:25" ht="15.75" customHeight="1">
      <c r="X624" s="15"/>
      <c r="Y624" s="15"/>
    </row>
    <row r="625" spans="24:25" ht="15.75" customHeight="1">
      <c r="X625" s="15"/>
      <c r="Y625" s="15"/>
    </row>
    <row r="626" spans="24:25" ht="15.75" customHeight="1">
      <c r="X626" s="15"/>
      <c r="Y626" s="15"/>
    </row>
    <row r="627" spans="24:25" ht="15.75" customHeight="1">
      <c r="X627" s="15"/>
      <c r="Y627" s="15"/>
    </row>
    <row r="628" spans="24:25" ht="15.75" customHeight="1">
      <c r="X628" s="15"/>
      <c r="Y628" s="15"/>
    </row>
    <row r="629" spans="24:25" ht="15.75" customHeight="1">
      <c r="X629" s="15"/>
      <c r="Y629" s="15"/>
    </row>
    <row r="630" spans="24:25" ht="15.75" customHeight="1">
      <c r="X630" s="15"/>
      <c r="Y630" s="15"/>
    </row>
    <row r="631" spans="24:25" ht="15.75" customHeight="1">
      <c r="X631" s="15"/>
      <c r="Y631" s="15"/>
    </row>
    <row r="632" spans="24:25" ht="15.75" customHeight="1">
      <c r="X632" s="15"/>
      <c r="Y632" s="15"/>
    </row>
    <row r="633" spans="24:25" ht="15.75" customHeight="1">
      <c r="X633" s="15"/>
      <c r="Y633" s="15"/>
    </row>
    <row r="634" spans="24:25" ht="15.75" customHeight="1">
      <c r="X634" s="15"/>
      <c r="Y634" s="15"/>
    </row>
    <row r="635" spans="24:25" ht="15.75" customHeight="1">
      <c r="X635" s="15"/>
      <c r="Y635" s="15"/>
    </row>
    <row r="636" spans="24:25" ht="15.75" customHeight="1">
      <c r="X636" s="15"/>
      <c r="Y636" s="15"/>
    </row>
    <row r="637" spans="24:25" ht="15.75" customHeight="1">
      <c r="X637" s="15"/>
      <c r="Y637" s="15"/>
    </row>
    <row r="638" spans="24:25" ht="15.75" customHeight="1">
      <c r="X638" s="15"/>
      <c r="Y638" s="15"/>
    </row>
    <row r="639" spans="24:25" ht="15.75" customHeight="1">
      <c r="X639" s="15"/>
      <c r="Y639" s="15"/>
    </row>
    <row r="640" spans="24:25" ht="15.75" customHeight="1">
      <c r="X640" s="15"/>
      <c r="Y640" s="15"/>
    </row>
    <row r="641" spans="24:25" ht="15.75" customHeight="1">
      <c r="X641" s="15"/>
      <c r="Y641" s="15"/>
    </row>
    <row r="642" spans="24:25" ht="15.75" customHeight="1">
      <c r="X642" s="15"/>
      <c r="Y642" s="15"/>
    </row>
    <row r="643" spans="24:25" ht="15.75" customHeight="1">
      <c r="X643" s="15"/>
      <c r="Y643" s="15"/>
    </row>
    <row r="644" spans="24:25" ht="15.75" customHeight="1">
      <c r="X644" s="15"/>
      <c r="Y644" s="15"/>
    </row>
    <row r="645" spans="24:25" ht="15.75" customHeight="1">
      <c r="X645" s="15"/>
      <c r="Y645" s="15"/>
    </row>
    <row r="646" spans="24:25" ht="15.75" customHeight="1">
      <c r="X646" s="15"/>
      <c r="Y646" s="15"/>
    </row>
    <row r="647" spans="24:25" ht="15.75" customHeight="1">
      <c r="X647" s="15"/>
      <c r="Y647" s="15"/>
    </row>
    <row r="648" spans="24:25" ht="15.75" customHeight="1">
      <c r="X648" s="15"/>
      <c r="Y648" s="15"/>
    </row>
    <row r="649" spans="24:25" ht="15.75" customHeight="1">
      <c r="X649" s="15"/>
      <c r="Y649" s="15"/>
    </row>
    <row r="650" spans="24:25" ht="15.75" customHeight="1">
      <c r="X650" s="15"/>
      <c r="Y650" s="15"/>
    </row>
    <row r="651" spans="24:25" ht="15.75" customHeight="1">
      <c r="X651" s="15"/>
      <c r="Y651" s="15"/>
    </row>
    <row r="652" spans="24:25" ht="15.75" customHeight="1">
      <c r="X652" s="15"/>
      <c r="Y652" s="15"/>
    </row>
    <row r="653" spans="24:25" ht="15.75" customHeight="1">
      <c r="X653" s="15"/>
      <c r="Y653" s="15"/>
    </row>
    <row r="654" spans="24:25" ht="15.75" customHeight="1">
      <c r="X654" s="15"/>
      <c r="Y654" s="15"/>
    </row>
    <row r="655" spans="24:25" ht="15.75" customHeight="1">
      <c r="X655" s="15"/>
      <c r="Y655" s="15"/>
    </row>
    <row r="656" spans="24:25" ht="15.75" customHeight="1">
      <c r="X656" s="15"/>
      <c r="Y656" s="15"/>
    </row>
    <row r="657" spans="24:25" ht="15.75" customHeight="1">
      <c r="X657" s="15"/>
      <c r="Y657" s="15"/>
    </row>
    <row r="658" spans="24:25" ht="15.75" customHeight="1">
      <c r="X658" s="15"/>
      <c r="Y658" s="15"/>
    </row>
    <row r="659" spans="24:25" ht="15.75" customHeight="1">
      <c r="X659" s="15"/>
      <c r="Y659" s="15"/>
    </row>
    <row r="660" spans="24:25" ht="15.75" customHeight="1">
      <c r="X660" s="15"/>
      <c r="Y660" s="15"/>
    </row>
    <row r="661" spans="24:25" ht="15.75" customHeight="1">
      <c r="X661" s="15"/>
      <c r="Y661" s="15"/>
    </row>
    <row r="662" spans="24:25" ht="15.75" customHeight="1">
      <c r="X662" s="15"/>
      <c r="Y662" s="15"/>
    </row>
    <row r="663" spans="24:25" ht="15.75" customHeight="1">
      <c r="X663" s="15"/>
      <c r="Y663" s="15"/>
    </row>
    <row r="664" spans="24:25" ht="15.75" customHeight="1">
      <c r="X664" s="15"/>
      <c r="Y664" s="15"/>
    </row>
    <row r="665" spans="24:25" ht="15.75" customHeight="1">
      <c r="X665" s="15"/>
      <c r="Y665" s="15"/>
    </row>
    <row r="666" spans="24:25" ht="15.75" customHeight="1">
      <c r="X666" s="15"/>
      <c r="Y666" s="15"/>
    </row>
    <row r="667" spans="24:25" ht="15.75" customHeight="1">
      <c r="X667" s="15"/>
      <c r="Y667" s="15"/>
    </row>
    <row r="668" spans="24:25" ht="15.75" customHeight="1">
      <c r="X668" s="15"/>
      <c r="Y668" s="15"/>
    </row>
    <row r="669" spans="24:25" ht="15.75" customHeight="1">
      <c r="X669" s="15"/>
      <c r="Y669" s="15"/>
    </row>
    <row r="670" spans="24:25" ht="15.75" customHeight="1">
      <c r="X670" s="15"/>
      <c r="Y670" s="15"/>
    </row>
    <row r="671" spans="24:25" ht="15.75" customHeight="1">
      <c r="X671" s="15"/>
      <c r="Y671" s="15"/>
    </row>
    <row r="672" spans="24:25" ht="15.75" customHeight="1">
      <c r="X672" s="15"/>
      <c r="Y672" s="15"/>
    </row>
    <row r="673" spans="24:25" ht="15.75" customHeight="1">
      <c r="X673" s="15"/>
      <c r="Y673" s="15"/>
    </row>
    <row r="674" spans="24:25" ht="15.75" customHeight="1">
      <c r="X674" s="15"/>
      <c r="Y674" s="15"/>
    </row>
    <row r="675" spans="24:25" ht="15.75" customHeight="1">
      <c r="X675" s="15"/>
      <c r="Y675" s="15"/>
    </row>
    <row r="676" spans="24:25" ht="15.75" customHeight="1">
      <c r="X676" s="15"/>
      <c r="Y676" s="15"/>
    </row>
    <row r="677" spans="24:25" ht="15.75" customHeight="1">
      <c r="X677" s="15"/>
      <c r="Y677" s="15"/>
    </row>
    <row r="678" spans="24:25" ht="15.75" customHeight="1">
      <c r="X678" s="15"/>
      <c r="Y678" s="15"/>
    </row>
    <row r="679" spans="24:25" ht="15.75" customHeight="1">
      <c r="X679" s="15"/>
      <c r="Y679" s="15"/>
    </row>
    <row r="680" spans="24:25" ht="15.75" customHeight="1">
      <c r="X680" s="15"/>
      <c r="Y680" s="15"/>
    </row>
    <row r="681" spans="24:25" ht="15.75" customHeight="1">
      <c r="X681" s="15"/>
      <c r="Y681" s="15"/>
    </row>
    <row r="682" spans="24:25" ht="15.75" customHeight="1">
      <c r="X682" s="15"/>
      <c r="Y682" s="15"/>
    </row>
    <row r="683" spans="24:25" ht="15.75" customHeight="1">
      <c r="X683" s="15"/>
      <c r="Y683" s="15"/>
    </row>
    <row r="684" spans="24:25" ht="15.75" customHeight="1">
      <c r="X684" s="15"/>
      <c r="Y684" s="15"/>
    </row>
    <row r="685" spans="24:25" ht="15.75" customHeight="1">
      <c r="X685" s="15"/>
      <c r="Y685" s="15"/>
    </row>
    <row r="686" spans="24:25" ht="15.75" customHeight="1">
      <c r="X686" s="15"/>
      <c r="Y686" s="15"/>
    </row>
    <row r="687" spans="24:25" ht="15.75" customHeight="1">
      <c r="X687" s="15"/>
      <c r="Y687" s="15"/>
    </row>
    <row r="688" spans="24:25" ht="15.75" customHeight="1">
      <c r="X688" s="15"/>
      <c r="Y688" s="15"/>
    </row>
    <row r="689" spans="24:25" ht="15.75" customHeight="1">
      <c r="X689" s="15"/>
      <c r="Y689" s="15"/>
    </row>
    <row r="690" spans="24:25" ht="15.75" customHeight="1">
      <c r="X690" s="15"/>
      <c r="Y690" s="15"/>
    </row>
    <row r="691" spans="24:25" ht="15.75" customHeight="1">
      <c r="X691" s="15"/>
      <c r="Y691" s="15"/>
    </row>
    <row r="692" spans="24:25" ht="15.75" customHeight="1">
      <c r="X692" s="15"/>
      <c r="Y692" s="15"/>
    </row>
    <row r="693" spans="24:25" ht="15.75" customHeight="1">
      <c r="X693" s="15"/>
      <c r="Y693" s="15"/>
    </row>
    <row r="694" spans="24:25" ht="15.75" customHeight="1">
      <c r="X694" s="15"/>
      <c r="Y694" s="15"/>
    </row>
    <row r="695" spans="24:25" ht="15.75" customHeight="1">
      <c r="X695" s="15"/>
      <c r="Y695" s="15"/>
    </row>
    <row r="696" spans="24:25" ht="15.75" customHeight="1">
      <c r="X696" s="15"/>
      <c r="Y696" s="15"/>
    </row>
    <row r="697" spans="24:25" ht="15.75" customHeight="1">
      <c r="X697" s="15"/>
      <c r="Y697" s="15"/>
    </row>
    <row r="698" spans="24:25" ht="15.75" customHeight="1">
      <c r="X698" s="15"/>
      <c r="Y698" s="15"/>
    </row>
    <row r="699" spans="24:25" ht="15.75" customHeight="1">
      <c r="X699" s="15"/>
      <c r="Y699" s="15"/>
    </row>
    <row r="700" spans="24:25" ht="15.75" customHeight="1">
      <c r="X700" s="15"/>
      <c r="Y700" s="15"/>
    </row>
    <row r="701" spans="24:25" ht="15.75" customHeight="1">
      <c r="X701" s="15"/>
      <c r="Y701" s="15"/>
    </row>
    <row r="702" spans="24:25" ht="15.75" customHeight="1">
      <c r="X702" s="15"/>
      <c r="Y702" s="15"/>
    </row>
    <row r="703" spans="24:25" ht="15.75" customHeight="1">
      <c r="X703" s="15"/>
      <c r="Y703" s="15"/>
    </row>
    <row r="704" spans="24:25" ht="15.75" customHeight="1">
      <c r="X704" s="15"/>
      <c r="Y704" s="15"/>
    </row>
    <row r="705" spans="24:25" ht="15.75" customHeight="1">
      <c r="X705" s="15"/>
      <c r="Y705" s="15"/>
    </row>
    <row r="706" spans="24:25" ht="15.75" customHeight="1">
      <c r="X706" s="15"/>
      <c r="Y706" s="15"/>
    </row>
    <row r="707" spans="24:25" ht="15.75" customHeight="1">
      <c r="X707" s="15"/>
      <c r="Y707" s="15"/>
    </row>
    <row r="708" spans="24:25" ht="15.75" customHeight="1">
      <c r="X708" s="15"/>
      <c r="Y708" s="15"/>
    </row>
    <row r="709" spans="24:25" ht="15.75" customHeight="1">
      <c r="X709" s="15"/>
      <c r="Y709" s="15"/>
    </row>
    <row r="710" spans="24:25" ht="15.75" customHeight="1">
      <c r="X710" s="15"/>
      <c r="Y710" s="15"/>
    </row>
    <row r="711" spans="24:25" ht="15.75" customHeight="1">
      <c r="X711" s="15"/>
      <c r="Y711" s="15"/>
    </row>
    <row r="712" spans="24:25" ht="15.75" customHeight="1">
      <c r="X712" s="15"/>
      <c r="Y712" s="15"/>
    </row>
    <row r="713" spans="24:25" ht="15.75" customHeight="1">
      <c r="X713" s="15"/>
      <c r="Y713" s="15"/>
    </row>
    <row r="714" spans="24:25" ht="15.75" customHeight="1">
      <c r="X714" s="15"/>
      <c r="Y714" s="15"/>
    </row>
    <row r="715" spans="24:25" ht="15.75" customHeight="1">
      <c r="X715" s="15"/>
      <c r="Y715" s="15"/>
    </row>
    <row r="716" spans="24:25" ht="15.75" customHeight="1">
      <c r="X716" s="15"/>
      <c r="Y716" s="15"/>
    </row>
    <row r="717" spans="24:25" ht="15.75" customHeight="1">
      <c r="X717" s="15"/>
      <c r="Y717" s="15"/>
    </row>
    <row r="718" spans="24:25" ht="15.75" customHeight="1">
      <c r="X718" s="15"/>
      <c r="Y718" s="15"/>
    </row>
    <row r="719" spans="24:25" ht="15.75" customHeight="1">
      <c r="X719" s="15"/>
      <c r="Y719" s="15"/>
    </row>
    <row r="720" spans="24:25" ht="15.75" customHeight="1">
      <c r="X720" s="15"/>
      <c r="Y720" s="15"/>
    </row>
    <row r="721" spans="24:25" ht="15.75" customHeight="1">
      <c r="X721" s="15"/>
      <c r="Y721" s="15"/>
    </row>
    <row r="722" spans="24:25" ht="15.75" customHeight="1">
      <c r="X722" s="15"/>
      <c r="Y722" s="15"/>
    </row>
    <row r="723" spans="24:25" ht="15.75" customHeight="1">
      <c r="X723" s="15"/>
      <c r="Y723" s="15"/>
    </row>
    <row r="724" spans="24:25" ht="15.75" customHeight="1">
      <c r="X724" s="15"/>
      <c r="Y724" s="15"/>
    </row>
    <row r="725" spans="24:25" ht="15.75" customHeight="1">
      <c r="X725" s="15"/>
      <c r="Y725" s="15"/>
    </row>
    <row r="726" spans="24:25" ht="15.75" customHeight="1">
      <c r="X726" s="15"/>
      <c r="Y726" s="15"/>
    </row>
    <row r="727" spans="24:25" ht="15.75" customHeight="1">
      <c r="X727" s="15"/>
      <c r="Y727" s="15"/>
    </row>
    <row r="728" spans="24:25" ht="15.75" customHeight="1">
      <c r="X728" s="15"/>
      <c r="Y728" s="15"/>
    </row>
    <row r="729" spans="24:25" ht="15.75" customHeight="1">
      <c r="X729" s="15"/>
      <c r="Y729" s="15"/>
    </row>
    <row r="730" spans="24:25" ht="15.75" customHeight="1">
      <c r="X730" s="15"/>
      <c r="Y730" s="15"/>
    </row>
    <row r="731" spans="24:25" ht="15.75" customHeight="1">
      <c r="X731" s="15"/>
      <c r="Y731" s="15"/>
    </row>
    <row r="732" spans="24:25" ht="15.75" customHeight="1">
      <c r="X732" s="15"/>
      <c r="Y732" s="15"/>
    </row>
    <row r="733" spans="24:25" ht="15.75" customHeight="1">
      <c r="X733" s="15"/>
      <c r="Y733" s="15"/>
    </row>
    <row r="734" spans="24:25" ht="15.75" customHeight="1">
      <c r="X734" s="15"/>
      <c r="Y734" s="15"/>
    </row>
    <row r="735" spans="24:25" ht="15.75" customHeight="1">
      <c r="X735" s="15"/>
      <c r="Y735" s="15"/>
    </row>
    <row r="736" spans="24:25" ht="15.75" customHeight="1">
      <c r="X736" s="15"/>
      <c r="Y736" s="15"/>
    </row>
    <row r="737" spans="24:25" ht="15.75" customHeight="1">
      <c r="X737" s="15"/>
      <c r="Y737" s="15"/>
    </row>
    <row r="738" spans="24:25" ht="15.75" customHeight="1">
      <c r="X738" s="15"/>
      <c r="Y738" s="15"/>
    </row>
    <row r="739" spans="24:25" ht="15.75" customHeight="1">
      <c r="X739" s="15"/>
      <c r="Y739" s="15"/>
    </row>
    <row r="740" spans="24:25" ht="15.75" customHeight="1">
      <c r="X740" s="15"/>
      <c r="Y740" s="15"/>
    </row>
    <row r="741" spans="24:25" ht="15.75" customHeight="1">
      <c r="X741" s="15"/>
      <c r="Y741" s="15"/>
    </row>
    <row r="742" spans="24:25" ht="15.75" customHeight="1">
      <c r="X742" s="15"/>
      <c r="Y742" s="15"/>
    </row>
    <row r="743" spans="24:25" ht="15.75" customHeight="1">
      <c r="X743" s="15"/>
      <c r="Y743" s="15"/>
    </row>
    <row r="744" spans="24:25" ht="15.75" customHeight="1">
      <c r="X744" s="15"/>
      <c r="Y744" s="15"/>
    </row>
    <row r="745" spans="24:25" ht="15.75" customHeight="1">
      <c r="X745" s="15"/>
      <c r="Y745" s="15"/>
    </row>
    <row r="746" spans="24:25" ht="15.75" customHeight="1">
      <c r="X746" s="15"/>
      <c r="Y746" s="15"/>
    </row>
    <row r="747" spans="24:25" ht="15.75" customHeight="1">
      <c r="X747" s="15"/>
      <c r="Y747" s="15"/>
    </row>
    <row r="748" spans="24:25" ht="15.75" customHeight="1">
      <c r="X748" s="15"/>
      <c r="Y748" s="15"/>
    </row>
    <row r="749" spans="24:25" ht="15.75" customHeight="1">
      <c r="X749" s="15"/>
      <c r="Y749" s="15"/>
    </row>
    <row r="750" spans="24:25" ht="15.75" customHeight="1">
      <c r="X750" s="15"/>
      <c r="Y750" s="15"/>
    </row>
    <row r="751" spans="24:25" ht="15.75" customHeight="1">
      <c r="X751" s="15"/>
      <c r="Y751" s="15"/>
    </row>
    <row r="752" spans="24:25" ht="15.75" customHeight="1">
      <c r="X752" s="15"/>
      <c r="Y752" s="15"/>
    </row>
    <row r="753" spans="24:25" ht="15.75" customHeight="1">
      <c r="X753" s="15"/>
      <c r="Y753" s="15"/>
    </row>
    <row r="754" spans="24:25" ht="15.75" customHeight="1">
      <c r="X754" s="15"/>
      <c r="Y754" s="15"/>
    </row>
    <row r="755" spans="24:25" ht="15.75" customHeight="1">
      <c r="X755" s="15"/>
      <c r="Y755" s="15"/>
    </row>
    <row r="756" spans="24:25" ht="15.75" customHeight="1">
      <c r="X756" s="15"/>
      <c r="Y756" s="15"/>
    </row>
    <row r="757" spans="24:25" ht="15.75" customHeight="1">
      <c r="X757" s="15"/>
      <c r="Y757" s="15"/>
    </row>
    <row r="758" spans="24:25" ht="15.75" customHeight="1">
      <c r="X758" s="15"/>
      <c r="Y758" s="15"/>
    </row>
    <row r="759" spans="24:25" ht="15.75" customHeight="1">
      <c r="X759" s="15"/>
      <c r="Y759" s="15"/>
    </row>
    <row r="760" spans="24:25" ht="15.75" customHeight="1">
      <c r="X760" s="15"/>
      <c r="Y760" s="15"/>
    </row>
    <row r="761" spans="24:25" ht="15.75" customHeight="1">
      <c r="X761" s="15"/>
      <c r="Y761" s="15"/>
    </row>
    <row r="762" spans="24:25" ht="15.75" customHeight="1">
      <c r="X762" s="15"/>
      <c r="Y762" s="15"/>
    </row>
    <row r="763" spans="24:25" ht="15.75" customHeight="1">
      <c r="X763" s="15"/>
      <c r="Y763" s="15"/>
    </row>
    <row r="764" spans="24:25" ht="15.75" customHeight="1">
      <c r="X764" s="15"/>
      <c r="Y764" s="15"/>
    </row>
    <row r="765" spans="24:25" ht="15.75" customHeight="1">
      <c r="X765" s="15"/>
      <c r="Y765" s="15"/>
    </row>
    <row r="766" spans="24:25" ht="15.75" customHeight="1">
      <c r="X766" s="15"/>
      <c r="Y766" s="15"/>
    </row>
    <row r="767" spans="24:25" ht="15.75" customHeight="1">
      <c r="X767" s="15"/>
      <c r="Y767" s="15"/>
    </row>
    <row r="768" spans="24:25" ht="15.75" customHeight="1">
      <c r="X768" s="15"/>
      <c r="Y768" s="15"/>
    </row>
    <row r="769" spans="24:25" ht="15.75" customHeight="1">
      <c r="X769" s="15"/>
      <c r="Y769" s="15"/>
    </row>
    <row r="770" spans="24:25" ht="15.75" customHeight="1">
      <c r="X770" s="15"/>
      <c r="Y770" s="15"/>
    </row>
    <row r="771" spans="24:25" ht="15.75" customHeight="1">
      <c r="X771" s="15"/>
      <c r="Y771" s="15"/>
    </row>
    <row r="772" spans="24:25" ht="15.75" customHeight="1">
      <c r="X772" s="15"/>
      <c r="Y772" s="15"/>
    </row>
    <row r="773" spans="24:25" ht="15.75" customHeight="1">
      <c r="X773" s="15"/>
      <c r="Y773" s="15"/>
    </row>
    <row r="774" spans="24:25" ht="15.75" customHeight="1">
      <c r="X774" s="15"/>
      <c r="Y774" s="15"/>
    </row>
    <row r="775" spans="24:25" ht="15.75" customHeight="1">
      <c r="X775" s="15"/>
      <c r="Y775" s="15"/>
    </row>
    <row r="776" spans="24:25" ht="15.75" customHeight="1">
      <c r="X776" s="15"/>
      <c r="Y776" s="15"/>
    </row>
    <row r="777" spans="24:25" ht="15.75" customHeight="1">
      <c r="X777" s="15"/>
      <c r="Y777" s="15"/>
    </row>
    <row r="778" spans="24:25" ht="15.75" customHeight="1">
      <c r="X778" s="15"/>
      <c r="Y778" s="15"/>
    </row>
    <row r="779" spans="24:25" ht="15.75" customHeight="1">
      <c r="X779" s="15"/>
      <c r="Y779" s="15"/>
    </row>
    <row r="780" spans="24:25" ht="15.75" customHeight="1">
      <c r="X780" s="15"/>
      <c r="Y780" s="15"/>
    </row>
    <row r="781" spans="24:25" ht="15.75" customHeight="1">
      <c r="X781" s="15"/>
      <c r="Y781" s="15"/>
    </row>
    <row r="782" spans="24:25" ht="15.75" customHeight="1">
      <c r="X782" s="15"/>
      <c r="Y782" s="15"/>
    </row>
    <row r="783" spans="24:25" ht="15.75" customHeight="1">
      <c r="X783" s="15"/>
      <c r="Y783" s="15"/>
    </row>
    <row r="784" spans="24:25" ht="15.75" customHeight="1">
      <c r="X784" s="15"/>
      <c r="Y784" s="15"/>
    </row>
    <row r="785" spans="24:25" ht="15.75" customHeight="1">
      <c r="X785" s="15"/>
      <c r="Y785" s="15"/>
    </row>
    <row r="786" spans="24:25" ht="15.75" customHeight="1">
      <c r="X786" s="15"/>
      <c r="Y786" s="15"/>
    </row>
    <row r="787" spans="24:25" ht="15.75" customHeight="1">
      <c r="X787" s="15"/>
      <c r="Y787" s="15"/>
    </row>
    <row r="788" spans="24:25" ht="15.75" customHeight="1">
      <c r="X788" s="15"/>
      <c r="Y788" s="15"/>
    </row>
    <row r="789" spans="24:25" ht="15.75" customHeight="1">
      <c r="X789" s="15"/>
      <c r="Y789" s="15"/>
    </row>
    <row r="790" spans="24:25" ht="15.75" customHeight="1">
      <c r="X790" s="15"/>
      <c r="Y790" s="15"/>
    </row>
    <row r="791" spans="24:25" ht="15.75" customHeight="1">
      <c r="X791" s="15"/>
      <c r="Y791" s="15"/>
    </row>
    <row r="792" spans="24:25" ht="15.75" customHeight="1">
      <c r="X792" s="15"/>
      <c r="Y792" s="15"/>
    </row>
    <row r="793" spans="24:25" ht="15.75" customHeight="1">
      <c r="X793" s="15"/>
      <c r="Y793" s="15"/>
    </row>
    <row r="794" spans="24:25" ht="15.75" customHeight="1">
      <c r="X794" s="15"/>
      <c r="Y794" s="15"/>
    </row>
    <row r="795" spans="24:25" ht="15.75" customHeight="1">
      <c r="X795" s="15"/>
      <c r="Y795" s="15"/>
    </row>
    <row r="796" spans="24:25" ht="15.75" customHeight="1">
      <c r="X796" s="15"/>
      <c r="Y796" s="15"/>
    </row>
    <row r="797" spans="24:25" ht="15.75" customHeight="1">
      <c r="X797" s="15"/>
      <c r="Y797" s="15"/>
    </row>
    <row r="798" spans="24:25" ht="15.75" customHeight="1">
      <c r="X798" s="15"/>
      <c r="Y798" s="15"/>
    </row>
    <row r="799" spans="24:25" ht="15.75" customHeight="1">
      <c r="X799" s="15"/>
      <c r="Y799" s="15"/>
    </row>
    <row r="800" spans="24:25" ht="15.75" customHeight="1">
      <c r="X800" s="15"/>
      <c r="Y800" s="15"/>
    </row>
    <row r="801" spans="24:25" ht="15.75" customHeight="1">
      <c r="X801" s="15"/>
      <c r="Y801" s="15"/>
    </row>
    <row r="802" spans="24:25" ht="15.75" customHeight="1">
      <c r="X802" s="15"/>
      <c r="Y802" s="15"/>
    </row>
    <row r="803" spans="24:25" ht="15.75" customHeight="1">
      <c r="X803" s="15"/>
      <c r="Y803" s="15"/>
    </row>
    <row r="804" spans="24:25" ht="15.75" customHeight="1">
      <c r="X804" s="15"/>
      <c r="Y804" s="15"/>
    </row>
    <row r="805" spans="24:25" ht="15.75" customHeight="1">
      <c r="X805" s="15"/>
      <c r="Y805" s="15"/>
    </row>
    <row r="806" spans="24:25" ht="15.75" customHeight="1">
      <c r="X806" s="15"/>
      <c r="Y806" s="15"/>
    </row>
    <row r="807" spans="24:25" ht="15.75" customHeight="1">
      <c r="X807" s="15"/>
      <c r="Y807" s="15"/>
    </row>
    <row r="808" spans="24:25" ht="15.75" customHeight="1">
      <c r="X808" s="15"/>
      <c r="Y808" s="15"/>
    </row>
    <row r="809" spans="24:25" ht="15.75" customHeight="1">
      <c r="X809" s="15"/>
      <c r="Y809" s="15"/>
    </row>
    <row r="810" spans="24:25" ht="15.75" customHeight="1">
      <c r="X810" s="15"/>
      <c r="Y810" s="15"/>
    </row>
    <row r="811" spans="24:25" ht="15.75" customHeight="1">
      <c r="X811" s="15"/>
      <c r="Y811" s="15"/>
    </row>
    <row r="812" spans="24:25" ht="15.75" customHeight="1">
      <c r="X812" s="15"/>
      <c r="Y812" s="15"/>
    </row>
    <row r="813" spans="24:25" ht="15.75" customHeight="1">
      <c r="X813" s="15"/>
      <c r="Y813" s="15"/>
    </row>
    <row r="814" spans="24:25" ht="15.75" customHeight="1">
      <c r="X814" s="15"/>
      <c r="Y814" s="15"/>
    </row>
    <row r="815" spans="24:25" ht="15.75" customHeight="1">
      <c r="X815" s="15"/>
      <c r="Y815" s="15"/>
    </row>
    <row r="816" spans="24:25" ht="15.75" customHeight="1">
      <c r="X816" s="15"/>
      <c r="Y816" s="15"/>
    </row>
    <row r="817" spans="24:25" ht="15.75" customHeight="1">
      <c r="X817" s="15"/>
      <c r="Y817" s="15"/>
    </row>
    <row r="818" spans="24:25" ht="15.75" customHeight="1">
      <c r="X818" s="15"/>
      <c r="Y818" s="15"/>
    </row>
    <row r="819" spans="24:25" ht="15.75" customHeight="1">
      <c r="X819" s="15"/>
      <c r="Y819" s="15"/>
    </row>
    <row r="820" spans="24:25" ht="15.75" customHeight="1">
      <c r="X820" s="15"/>
      <c r="Y820" s="15"/>
    </row>
    <row r="821" spans="24:25" ht="15.75" customHeight="1">
      <c r="X821" s="15"/>
      <c r="Y821" s="15"/>
    </row>
    <row r="822" spans="24:25" ht="15.75" customHeight="1">
      <c r="X822" s="15"/>
      <c r="Y822" s="15"/>
    </row>
    <row r="823" spans="24:25" ht="15.75" customHeight="1">
      <c r="X823" s="15"/>
      <c r="Y823" s="15"/>
    </row>
    <row r="824" spans="24:25" ht="15.75" customHeight="1">
      <c r="X824" s="15"/>
      <c r="Y824" s="15"/>
    </row>
    <row r="825" spans="24:25" ht="15.75" customHeight="1">
      <c r="X825" s="15"/>
      <c r="Y825" s="15"/>
    </row>
    <row r="826" spans="24:25" ht="15.75" customHeight="1">
      <c r="X826" s="15"/>
      <c r="Y826" s="15"/>
    </row>
    <row r="827" spans="24:25" ht="15.75" customHeight="1">
      <c r="X827" s="15"/>
      <c r="Y827" s="15"/>
    </row>
    <row r="828" spans="24:25" ht="15.75" customHeight="1">
      <c r="X828" s="15"/>
      <c r="Y828" s="15"/>
    </row>
    <row r="829" spans="24:25" ht="15.75" customHeight="1">
      <c r="X829" s="15"/>
      <c r="Y829" s="15"/>
    </row>
    <row r="830" spans="24:25" ht="15.75" customHeight="1">
      <c r="X830" s="15"/>
      <c r="Y830" s="15"/>
    </row>
    <row r="831" spans="24:25" ht="15.75" customHeight="1">
      <c r="X831" s="15"/>
      <c r="Y831" s="15"/>
    </row>
    <row r="832" spans="24:25" ht="15.75" customHeight="1">
      <c r="X832" s="15"/>
      <c r="Y832" s="15"/>
    </row>
    <row r="833" spans="24:25" ht="15.75" customHeight="1">
      <c r="X833" s="15"/>
      <c r="Y833" s="15"/>
    </row>
    <row r="834" spans="24:25" ht="15.75" customHeight="1">
      <c r="X834" s="15"/>
      <c r="Y834" s="15"/>
    </row>
    <row r="835" spans="24:25" ht="15.75" customHeight="1">
      <c r="X835" s="15"/>
      <c r="Y835" s="15"/>
    </row>
    <row r="836" spans="24:25" ht="15.75" customHeight="1">
      <c r="X836" s="15"/>
      <c r="Y836" s="15"/>
    </row>
    <row r="837" spans="24:25" ht="15.75" customHeight="1">
      <c r="X837" s="15"/>
      <c r="Y837" s="15"/>
    </row>
    <row r="838" spans="24:25" ht="15.75" customHeight="1">
      <c r="X838" s="15"/>
      <c r="Y838" s="15"/>
    </row>
    <row r="839" spans="24:25" ht="15.75" customHeight="1">
      <c r="X839" s="15"/>
      <c r="Y839" s="15"/>
    </row>
    <row r="840" spans="24:25" ht="15.75" customHeight="1">
      <c r="X840" s="15"/>
      <c r="Y840" s="15"/>
    </row>
    <row r="841" spans="24:25" ht="15.75" customHeight="1">
      <c r="X841" s="15"/>
      <c r="Y841" s="15"/>
    </row>
    <row r="842" spans="24:25" ht="15.75" customHeight="1">
      <c r="X842" s="15"/>
      <c r="Y842" s="15"/>
    </row>
    <row r="843" spans="24:25" ht="15.75" customHeight="1">
      <c r="X843" s="15"/>
      <c r="Y843" s="15"/>
    </row>
    <row r="844" spans="24:25" ht="15.75" customHeight="1">
      <c r="X844" s="15"/>
      <c r="Y844" s="15"/>
    </row>
    <row r="845" spans="24:25" ht="15.75" customHeight="1">
      <c r="X845" s="15"/>
      <c r="Y845" s="15"/>
    </row>
    <row r="846" spans="24:25" ht="15.75" customHeight="1">
      <c r="X846" s="15"/>
      <c r="Y846" s="15"/>
    </row>
    <row r="847" spans="24:25" ht="15.75" customHeight="1">
      <c r="X847" s="15"/>
      <c r="Y847" s="15"/>
    </row>
    <row r="848" spans="24:25" ht="15.75" customHeight="1">
      <c r="X848" s="15"/>
      <c r="Y848" s="15"/>
    </row>
    <row r="849" spans="24:25" ht="15.75" customHeight="1">
      <c r="X849" s="15"/>
      <c r="Y849" s="15"/>
    </row>
    <row r="850" spans="24:25" ht="15.75" customHeight="1">
      <c r="X850" s="15"/>
      <c r="Y850" s="15"/>
    </row>
    <row r="851" spans="24:25" ht="15.75" customHeight="1">
      <c r="X851" s="15"/>
      <c r="Y851" s="15"/>
    </row>
    <row r="852" spans="24:25" ht="15.75" customHeight="1">
      <c r="X852" s="15"/>
      <c r="Y852" s="15"/>
    </row>
    <row r="853" spans="24:25" ht="15.75" customHeight="1">
      <c r="X853" s="15"/>
      <c r="Y853" s="15"/>
    </row>
    <row r="854" spans="24:25" ht="15.75" customHeight="1">
      <c r="X854" s="15"/>
      <c r="Y854" s="15"/>
    </row>
    <row r="855" spans="24:25" ht="15.75" customHeight="1">
      <c r="X855" s="15"/>
      <c r="Y855" s="15"/>
    </row>
    <row r="856" spans="24:25" ht="15.75" customHeight="1">
      <c r="X856" s="15"/>
      <c r="Y856" s="15"/>
    </row>
    <row r="857" spans="24:25" ht="15.75" customHeight="1">
      <c r="X857" s="15"/>
      <c r="Y857" s="15"/>
    </row>
    <row r="858" spans="24:25" ht="15.75" customHeight="1">
      <c r="X858" s="15"/>
      <c r="Y858" s="15"/>
    </row>
    <row r="859" spans="24:25" ht="15.75" customHeight="1">
      <c r="X859" s="15"/>
      <c r="Y859" s="15"/>
    </row>
    <row r="860" spans="24:25" ht="15.75" customHeight="1">
      <c r="X860" s="15"/>
      <c r="Y860" s="15"/>
    </row>
    <row r="861" spans="24:25" ht="15.75" customHeight="1">
      <c r="X861" s="15"/>
      <c r="Y861" s="15"/>
    </row>
    <row r="862" spans="24:25" ht="15.75" customHeight="1">
      <c r="X862" s="15"/>
      <c r="Y862" s="15"/>
    </row>
    <row r="863" spans="24:25" ht="15.75" customHeight="1">
      <c r="X863" s="15"/>
      <c r="Y863" s="15"/>
    </row>
    <row r="864" spans="24:25" ht="15.75" customHeight="1">
      <c r="X864" s="15"/>
      <c r="Y864" s="15"/>
    </row>
    <row r="865" spans="24:25" ht="15.75" customHeight="1">
      <c r="X865" s="15"/>
      <c r="Y865" s="15"/>
    </row>
    <row r="866" spans="24:25" ht="15.75" customHeight="1">
      <c r="X866" s="15"/>
      <c r="Y866" s="15"/>
    </row>
    <row r="867" spans="24:25" ht="15.75" customHeight="1">
      <c r="X867" s="15"/>
      <c r="Y867" s="15"/>
    </row>
    <row r="868" spans="24:25" ht="15.75" customHeight="1">
      <c r="X868" s="15"/>
      <c r="Y868" s="15"/>
    </row>
    <row r="869" spans="24:25" ht="15.75" customHeight="1">
      <c r="X869" s="15"/>
      <c r="Y869" s="15"/>
    </row>
    <row r="870" spans="24:25" ht="15.75" customHeight="1">
      <c r="X870" s="15"/>
      <c r="Y870" s="15"/>
    </row>
    <row r="871" spans="24:25" ht="15.75" customHeight="1">
      <c r="X871" s="15"/>
      <c r="Y871" s="15"/>
    </row>
    <row r="872" spans="24:25" ht="15.75" customHeight="1">
      <c r="X872" s="15"/>
      <c r="Y872" s="15"/>
    </row>
    <row r="873" spans="24:25" ht="15.75" customHeight="1">
      <c r="X873" s="15"/>
      <c r="Y873" s="15"/>
    </row>
    <row r="874" spans="24:25" ht="15.75" customHeight="1">
      <c r="X874" s="15"/>
      <c r="Y874" s="15"/>
    </row>
    <row r="875" spans="24:25" ht="15.75" customHeight="1">
      <c r="X875" s="15"/>
      <c r="Y875" s="15"/>
    </row>
    <row r="876" spans="24:25" ht="15.75" customHeight="1">
      <c r="X876" s="15"/>
      <c r="Y876" s="15"/>
    </row>
    <row r="877" spans="24:25" ht="15.75" customHeight="1">
      <c r="X877" s="15"/>
      <c r="Y877" s="15"/>
    </row>
    <row r="878" spans="24:25" ht="15.75" customHeight="1">
      <c r="X878" s="15"/>
      <c r="Y878" s="15"/>
    </row>
    <row r="879" spans="24:25" ht="15.75" customHeight="1">
      <c r="X879" s="15"/>
      <c r="Y879" s="15"/>
    </row>
    <row r="880" spans="24:25" ht="15.75" customHeight="1">
      <c r="X880" s="15"/>
      <c r="Y880" s="15"/>
    </row>
    <row r="881" spans="24:25" ht="15.75" customHeight="1">
      <c r="X881" s="15"/>
      <c r="Y881" s="15"/>
    </row>
    <row r="882" spans="24:25" ht="15.75" customHeight="1">
      <c r="X882" s="15"/>
      <c r="Y882" s="15"/>
    </row>
    <row r="883" spans="24:25" ht="15.75" customHeight="1">
      <c r="X883" s="15"/>
      <c r="Y883" s="15"/>
    </row>
    <row r="884" spans="24:25" ht="15.75" customHeight="1">
      <c r="X884" s="15"/>
      <c r="Y884" s="15"/>
    </row>
    <row r="885" spans="24:25" ht="15.75" customHeight="1">
      <c r="X885" s="15"/>
      <c r="Y885" s="15"/>
    </row>
    <row r="886" spans="24:25" ht="15.75" customHeight="1">
      <c r="X886" s="15"/>
      <c r="Y886" s="15"/>
    </row>
    <row r="887" spans="24:25" ht="15.75" customHeight="1">
      <c r="X887" s="15"/>
      <c r="Y887" s="15"/>
    </row>
    <row r="888" spans="24:25" ht="15.75" customHeight="1">
      <c r="X888" s="15"/>
      <c r="Y888" s="15"/>
    </row>
    <row r="889" spans="24:25" ht="15.75" customHeight="1">
      <c r="X889" s="15"/>
      <c r="Y889" s="15"/>
    </row>
    <row r="890" spans="24:25" ht="15.75" customHeight="1">
      <c r="X890" s="15"/>
      <c r="Y890" s="15"/>
    </row>
    <row r="891" spans="24:25" ht="15.75" customHeight="1">
      <c r="X891" s="15"/>
      <c r="Y891" s="15"/>
    </row>
    <row r="892" spans="24:25" ht="15.75" customHeight="1">
      <c r="X892" s="15"/>
      <c r="Y892" s="15"/>
    </row>
    <row r="893" spans="24:25" ht="15.75" customHeight="1">
      <c r="X893" s="15"/>
      <c r="Y893" s="15"/>
    </row>
    <row r="894" spans="24:25" ht="15.75" customHeight="1">
      <c r="X894" s="15"/>
      <c r="Y894" s="15"/>
    </row>
    <row r="895" spans="24:25" ht="15.75" customHeight="1">
      <c r="X895" s="15"/>
      <c r="Y895" s="15"/>
    </row>
    <row r="896" spans="24:25" ht="15.75" customHeight="1">
      <c r="X896" s="15"/>
      <c r="Y896" s="15"/>
    </row>
    <row r="897" spans="24:25" ht="15.75" customHeight="1">
      <c r="X897" s="15"/>
      <c r="Y897" s="15"/>
    </row>
    <row r="898" spans="24:25" ht="15.75" customHeight="1">
      <c r="X898" s="15"/>
      <c r="Y898" s="15"/>
    </row>
    <row r="899" spans="24:25" ht="15.75" customHeight="1">
      <c r="X899" s="15"/>
      <c r="Y899" s="15"/>
    </row>
    <row r="900" spans="24:25" ht="15.75" customHeight="1">
      <c r="X900" s="15"/>
      <c r="Y900" s="15"/>
    </row>
    <row r="901" spans="24:25" ht="15.75" customHeight="1">
      <c r="X901" s="15"/>
      <c r="Y901" s="15"/>
    </row>
    <row r="902" spans="24:25" ht="15.75" customHeight="1">
      <c r="X902" s="15"/>
      <c r="Y902" s="15"/>
    </row>
    <row r="903" spans="24:25" ht="15.75" customHeight="1">
      <c r="X903" s="15"/>
      <c r="Y903" s="15"/>
    </row>
    <row r="904" spans="24:25" ht="15.75" customHeight="1">
      <c r="X904" s="15"/>
      <c r="Y904" s="15"/>
    </row>
    <row r="905" spans="24:25" ht="15.75" customHeight="1">
      <c r="X905" s="15"/>
      <c r="Y905" s="15"/>
    </row>
    <row r="906" spans="24:25" ht="15.75" customHeight="1">
      <c r="X906" s="15"/>
      <c r="Y906" s="15"/>
    </row>
    <row r="907" spans="24:25" ht="15.75" customHeight="1">
      <c r="X907" s="15"/>
      <c r="Y907" s="15"/>
    </row>
    <row r="908" spans="24:25" ht="15.75" customHeight="1">
      <c r="X908" s="15"/>
      <c r="Y908" s="15"/>
    </row>
    <row r="909" spans="24:25" ht="15.75" customHeight="1">
      <c r="X909" s="15"/>
      <c r="Y909" s="15"/>
    </row>
    <row r="910" spans="24:25" ht="15.75" customHeight="1">
      <c r="X910" s="15"/>
      <c r="Y910" s="15"/>
    </row>
    <row r="911" spans="24:25" ht="15.75" customHeight="1">
      <c r="X911" s="15"/>
      <c r="Y911" s="15"/>
    </row>
    <row r="912" spans="24:25" ht="15.75" customHeight="1">
      <c r="X912" s="15"/>
      <c r="Y912" s="15"/>
    </row>
    <row r="913" spans="24:25" ht="15.75" customHeight="1">
      <c r="X913" s="15"/>
      <c r="Y913" s="15"/>
    </row>
    <row r="914" spans="24:25" ht="15.75" customHeight="1">
      <c r="X914" s="15"/>
      <c r="Y914" s="15"/>
    </row>
    <row r="915" spans="24:25" ht="15.75" customHeight="1">
      <c r="X915" s="15"/>
      <c r="Y915" s="15"/>
    </row>
    <row r="916" spans="24:25" ht="15.75" customHeight="1">
      <c r="X916" s="15"/>
      <c r="Y916" s="15"/>
    </row>
    <row r="917" spans="24:25" ht="15.75" customHeight="1">
      <c r="X917" s="15"/>
      <c r="Y917" s="15"/>
    </row>
    <row r="918" spans="24:25" ht="15.75" customHeight="1">
      <c r="X918" s="15"/>
      <c r="Y918" s="15"/>
    </row>
    <row r="919" spans="24:25" ht="15.75" customHeight="1">
      <c r="X919" s="15"/>
      <c r="Y919" s="15"/>
    </row>
    <row r="920" spans="24:25" ht="15.75" customHeight="1">
      <c r="X920" s="15"/>
      <c r="Y920" s="15"/>
    </row>
    <row r="921" spans="24:25" ht="15.75" customHeight="1">
      <c r="X921" s="15"/>
      <c r="Y921" s="15"/>
    </row>
    <row r="922" spans="24:25" ht="15.75" customHeight="1">
      <c r="X922" s="15"/>
      <c r="Y922" s="15"/>
    </row>
    <row r="923" spans="24:25" ht="15.75" customHeight="1">
      <c r="X923" s="15"/>
      <c r="Y923" s="15"/>
    </row>
    <row r="924" spans="24:25" ht="15.75" customHeight="1">
      <c r="X924" s="15"/>
      <c r="Y924" s="15"/>
    </row>
    <row r="925" spans="24:25" ht="15.75" customHeight="1">
      <c r="X925" s="15"/>
      <c r="Y925" s="15"/>
    </row>
    <row r="926" spans="24:25" ht="15.75" customHeight="1">
      <c r="X926" s="15"/>
      <c r="Y926" s="15"/>
    </row>
    <row r="927" spans="24:25" ht="15.75" customHeight="1">
      <c r="X927" s="15"/>
      <c r="Y927" s="15"/>
    </row>
    <row r="928" spans="24:25" ht="15.75" customHeight="1">
      <c r="X928" s="15"/>
      <c r="Y928" s="15"/>
    </row>
    <row r="929" spans="24:25" ht="15.75" customHeight="1">
      <c r="X929" s="15"/>
      <c r="Y929" s="15"/>
    </row>
    <row r="930" spans="24:25" ht="15.75" customHeight="1">
      <c r="X930" s="15"/>
      <c r="Y930" s="15"/>
    </row>
    <row r="931" spans="24:25" ht="15.75" customHeight="1">
      <c r="X931" s="15"/>
      <c r="Y931" s="15"/>
    </row>
    <row r="932" spans="24:25" ht="15.75" customHeight="1">
      <c r="X932" s="15"/>
      <c r="Y932" s="15"/>
    </row>
    <row r="933" spans="24:25" ht="15.75" customHeight="1">
      <c r="X933" s="15"/>
      <c r="Y933" s="15"/>
    </row>
    <row r="934" spans="24:25" ht="15.75" customHeight="1">
      <c r="X934" s="15"/>
      <c r="Y934" s="15"/>
    </row>
    <row r="935" spans="24:25" ht="15.75" customHeight="1">
      <c r="X935" s="15"/>
      <c r="Y935" s="15"/>
    </row>
    <row r="936" spans="24:25" ht="15.75" customHeight="1">
      <c r="X936" s="15"/>
      <c r="Y936" s="15"/>
    </row>
    <row r="937" spans="24:25" ht="15.75" customHeight="1">
      <c r="X937" s="15"/>
      <c r="Y937" s="15"/>
    </row>
    <row r="938" spans="24:25" ht="15.75" customHeight="1">
      <c r="X938" s="15"/>
      <c r="Y938" s="15"/>
    </row>
    <row r="939" spans="24:25" ht="15.75" customHeight="1">
      <c r="X939" s="15"/>
      <c r="Y939" s="15"/>
    </row>
    <row r="940" spans="24:25" ht="15.75" customHeight="1">
      <c r="X940" s="15"/>
      <c r="Y940" s="15"/>
    </row>
    <row r="941" spans="24:25" ht="15.75" customHeight="1">
      <c r="X941" s="15"/>
      <c r="Y941" s="15"/>
    </row>
    <row r="942" spans="24:25" ht="15.75" customHeight="1">
      <c r="X942" s="15"/>
      <c r="Y942" s="15"/>
    </row>
    <row r="943" spans="24:25" ht="15.75" customHeight="1">
      <c r="X943" s="15"/>
      <c r="Y943" s="15"/>
    </row>
    <row r="944" spans="24:25" ht="15.75" customHeight="1">
      <c r="X944" s="15"/>
      <c r="Y944" s="15"/>
    </row>
    <row r="945" spans="24:25" ht="15.75" customHeight="1">
      <c r="X945" s="15"/>
      <c r="Y945" s="15"/>
    </row>
    <row r="946" spans="24:25" ht="15.75" customHeight="1">
      <c r="X946" s="15"/>
      <c r="Y946" s="15"/>
    </row>
    <row r="947" spans="24:25" ht="15.75" customHeight="1">
      <c r="X947" s="15"/>
      <c r="Y947" s="15"/>
    </row>
    <row r="948" spans="24:25" ht="15.75" customHeight="1">
      <c r="X948" s="15"/>
      <c r="Y948" s="15"/>
    </row>
    <row r="949" spans="24:25" ht="15.75" customHeight="1">
      <c r="X949" s="15"/>
      <c r="Y949" s="15"/>
    </row>
    <row r="950" spans="24:25" ht="15.75" customHeight="1">
      <c r="X950" s="15"/>
      <c r="Y950" s="15"/>
    </row>
    <row r="951" spans="24:25" ht="15.75" customHeight="1">
      <c r="X951" s="15"/>
      <c r="Y951" s="15"/>
    </row>
    <row r="952" spans="24:25" ht="15.75" customHeight="1">
      <c r="X952" s="15"/>
      <c r="Y952" s="15"/>
    </row>
    <row r="953" spans="24:25" ht="15.75" customHeight="1">
      <c r="X953" s="15"/>
      <c r="Y953" s="15"/>
    </row>
    <row r="954" spans="24:25" ht="15.75" customHeight="1">
      <c r="X954" s="15"/>
      <c r="Y954" s="15"/>
    </row>
    <row r="955" spans="24:25" ht="15.75" customHeight="1">
      <c r="X955" s="15"/>
      <c r="Y955" s="15"/>
    </row>
    <row r="956" spans="24:25" ht="15.75" customHeight="1">
      <c r="X956" s="15"/>
      <c r="Y956" s="15"/>
    </row>
    <row r="957" spans="24:25" ht="15.75" customHeight="1">
      <c r="X957" s="15"/>
      <c r="Y957" s="15"/>
    </row>
    <row r="958" spans="24:25" ht="15.75" customHeight="1">
      <c r="X958" s="15"/>
      <c r="Y958" s="15"/>
    </row>
    <row r="959" spans="24:25" ht="15.75" customHeight="1">
      <c r="X959" s="15"/>
      <c r="Y959" s="15"/>
    </row>
    <row r="960" spans="24:25" ht="15.75" customHeight="1">
      <c r="X960" s="15"/>
      <c r="Y960" s="15"/>
    </row>
    <row r="961" spans="24:25" ht="15.75" customHeight="1">
      <c r="X961" s="15"/>
      <c r="Y961" s="15"/>
    </row>
    <row r="962" spans="24:25" ht="15.75" customHeight="1">
      <c r="X962" s="15"/>
      <c r="Y962" s="15"/>
    </row>
    <row r="963" spans="24:25" ht="15.75" customHeight="1">
      <c r="X963" s="15"/>
      <c r="Y963" s="15"/>
    </row>
    <row r="964" spans="24:25" ht="15.75" customHeight="1">
      <c r="X964" s="15"/>
      <c r="Y964" s="15"/>
    </row>
    <row r="965" spans="24:25" ht="15.75" customHeight="1">
      <c r="X965" s="15"/>
      <c r="Y965" s="15"/>
    </row>
    <row r="966" spans="24:25" ht="15.75" customHeight="1">
      <c r="X966" s="15"/>
      <c r="Y966" s="15"/>
    </row>
    <row r="967" spans="24:25" ht="15.75" customHeight="1">
      <c r="X967" s="15"/>
      <c r="Y967" s="15"/>
    </row>
    <row r="968" spans="24:25" ht="15.75" customHeight="1">
      <c r="X968" s="15"/>
      <c r="Y968" s="15"/>
    </row>
    <row r="969" spans="24:25" ht="15.75" customHeight="1">
      <c r="X969" s="15"/>
      <c r="Y969" s="15"/>
    </row>
    <row r="970" spans="24:25" ht="15.75" customHeight="1">
      <c r="X970" s="15"/>
      <c r="Y970" s="15"/>
    </row>
    <row r="971" spans="24:25" ht="15.75" customHeight="1">
      <c r="X971" s="15"/>
      <c r="Y971" s="15"/>
    </row>
    <row r="972" spans="24:25" ht="15.75" customHeight="1">
      <c r="X972" s="15"/>
      <c r="Y972" s="15"/>
    </row>
    <row r="973" spans="24:25" ht="15.75" customHeight="1">
      <c r="X973" s="15"/>
      <c r="Y973" s="15"/>
    </row>
    <row r="974" spans="24:25" ht="15.75" customHeight="1">
      <c r="X974" s="15"/>
      <c r="Y974" s="15"/>
    </row>
    <row r="975" spans="24:25" ht="15.75" customHeight="1">
      <c r="X975" s="15"/>
      <c r="Y975" s="15"/>
    </row>
    <row r="976" spans="24:25" ht="15.75" customHeight="1">
      <c r="X976" s="15"/>
      <c r="Y976" s="15"/>
    </row>
    <row r="977" spans="24:25" ht="15.75" customHeight="1">
      <c r="X977" s="15"/>
      <c r="Y977" s="15"/>
    </row>
    <row r="978" spans="24:25" ht="15.75" customHeight="1">
      <c r="X978" s="15"/>
      <c r="Y978" s="15"/>
    </row>
    <row r="979" spans="24:25" ht="15.75" customHeight="1">
      <c r="X979" s="15"/>
      <c r="Y979" s="15"/>
    </row>
    <row r="980" spans="24:25" ht="15.75" customHeight="1">
      <c r="X980" s="15"/>
      <c r="Y980" s="15"/>
    </row>
    <row r="981" spans="24:25" ht="15.75" customHeight="1">
      <c r="X981" s="15"/>
      <c r="Y981" s="15"/>
    </row>
    <row r="982" spans="24:25" ht="15.75" customHeight="1">
      <c r="X982" s="15"/>
      <c r="Y982" s="15"/>
    </row>
    <row r="983" spans="24:25" ht="15.75" customHeight="1">
      <c r="X983" s="15"/>
      <c r="Y983" s="15"/>
    </row>
    <row r="984" spans="24:25" ht="15.75" customHeight="1">
      <c r="X984" s="15"/>
      <c r="Y984" s="15"/>
    </row>
    <row r="985" spans="24:25" ht="15.75" customHeight="1">
      <c r="X985" s="15"/>
      <c r="Y985" s="15"/>
    </row>
    <row r="986" spans="24:25" ht="15.75" customHeight="1">
      <c r="X986" s="15"/>
      <c r="Y986" s="15"/>
    </row>
    <row r="987" spans="24:25" ht="15.75" customHeight="1">
      <c r="X987" s="15"/>
      <c r="Y987" s="15"/>
    </row>
    <row r="988" spans="24:25" ht="15.75" customHeight="1">
      <c r="X988" s="15"/>
      <c r="Y988" s="15"/>
    </row>
    <row r="989" spans="24:25" ht="15.75" customHeight="1">
      <c r="X989" s="15"/>
      <c r="Y989" s="15"/>
    </row>
    <row r="990" spans="24:25" ht="15.75" customHeight="1">
      <c r="X990" s="15"/>
      <c r="Y990" s="15"/>
    </row>
    <row r="991" spans="24:25" ht="15.75" customHeight="1">
      <c r="X991" s="15"/>
      <c r="Y991" s="15"/>
    </row>
    <row r="992" spans="24:25" ht="15.75" customHeight="1">
      <c r="X992" s="15"/>
      <c r="Y992" s="15"/>
    </row>
    <row r="993" spans="24:25" ht="15.75" customHeight="1">
      <c r="X993" s="15"/>
      <c r="Y993" s="15"/>
    </row>
    <row r="994" spans="24:25" ht="15.75" customHeight="1">
      <c r="X994" s="15"/>
      <c r="Y994" s="15"/>
    </row>
    <row r="995" spans="24:25" ht="15.75" customHeight="1">
      <c r="X995" s="15"/>
      <c r="Y995" s="15"/>
    </row>
    <row r="996" spans="24:25" ht="15.75" customHeight="1">
      <c r="X996" s="15"/>
      <c r="Y996" s="15"/>
    </row>
    <row r="997" spans="24:25" ht="15.75" customHeight="1">
      <c r="X997" s="15"/>
      <c r="Y997" s="15"/>
    </row>
    <row r="998" spans="24:25" ht="15.75" customHeight="1">
      <c r="X998" s="15"/>
      <c r="Y998" s="15"/>
    </row>
    <row r="999" spans="24:25" ht="15.75" customHeight="1">
      <c r="X999" s="15"/>
      <c r="Y999" s="15"/>
    </row>
    <row r="1000" spans="24:25" ht="15.75" customHeight="1">
      <c r="X1000" s="15"/>
      <c r="Y1000" s="15"/>
    </row>
  </sheetData>
  <autoFilter ref="A1:Z48" xr:uid="{00000000-0001-0000-0000-000000000000}">
    <filterColumn colId="4">
      <filters>
        <filter val="(2) 技術及び手法の調査"/>
      </filters>
    </filterColumn>
  </autoFilter>
  <phoneticPr fontId="51"/>
  <conditionalFormatting sqref="K2:K45">
    <cfRule type="colorScale" priority="1">
      <colorScale>
        <cfvo type="formula" val="1"/>
        <cfvo type="formula" val="3"/>
        <cfvo type="formula" val="5"/>
        <color rgb="FFFFFFFF"/>
        <color rgb="FFFFE699"/>
        <color rgb="FFE06666"/>
      </colorScale>
    </cfRule>
  </conditionalFormatting>
  <conditionalFormatting sqref="M2:M45">
    <cfRule type="colorScale" priority="2">
      <colorScale>
        <cfvo type="formula" val="0"/>
        <cfvo type="formula" val="40"/>
        <cfvo type="formula" val="70"/>
        <color rgb="FFFFFFFF"/>
        <color rgb="FFC6EFCE"/>
        <color rgb="FF63BE7B"/>
      </colorScale>
    </cfRule>
  </conditionalFormatting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baseColWidth="10" defaultColWidth="14.5" defaultRowHeight="15" customHeight="1"/>
  <cols>
    <col min="1" max="1" width="40" customWidth="1"/>
    <col min="2" max="2" width="10" customWidth="1"/>
    <col min="3" max="4" width="14" customWidth="1"/>
    <col min="5" max="5" width="12" customWidth="1"/>
    <col min="6" max="6" width="10" customWidth="1"/>
    <col min="7" max="7" width="16" customWidth="1"/>
    <col min="8" max="8" width="22" customWidth="1"/>
    <col min="9" max="26" width="8.6640625" customWidth="1"/>
  </cols>
  <sheetData>
    <row r="1" spans="1:8" ht="20">
      <c r="A1" s="69" t="s">
        <v>497</v>
      </c>
      <c r="B1" s="70"/>
      <c r="C1" s="70"/>
      <c r="D1" s="70"/>
      <c r="E1" s="70"/>
      <c r="F1" s="70"/>
      <c r="G1" s="70"/>
      <c r="H1" s="70"/>
    </row>
    <row r="3" spans="1:8" ht="42" customHeight="1">
      <c r="A3" s="2" t="s">
        <v>4</v>
      </c>
      <c r="B3" s="2" t="s">
        <v>498</v>
      </c>
      <c r="C3" s="1" t="s">
        <v>499</v>
      </c>
      <c r="D3" s="1" t="s">
        <v>500</v>
      </c>
      <c r="E3" s="2" t="s">
        <v>501</v>
      </c>
      <c r="F3" s="2" t="s">
        <v>502</v>
      </c>
      <c r="G3" s="2" t="s">
        <v>503</v>
      </c>
      <c r="H3" s="2" t="s">
        <v>504</v>
      </c>
    </row>
    <row r="4" spans="1:8" ht="16">
      <c r="A4" s="39" t="s">
        <v>505</v>
      </c>
      <c r="B4" s="40">
        <f>COUNTIF(調査業務リスト!E2:E46,"(1) 政策及び制度調査")</f>
        <v>14</v>
      </c>
      <c r="C4" s="41">
        <f>SUMIF(調査業務リスト!E2:E46,"(1) 政策及び制度調査",調査業務リスト!L2:L46)</f>
        <v>41</v>
      </c>
      <c r="D4" s="41">
        <f>SUMIF(調査業務リスト!E2:E46,"(1) 政策及び制度調査",調査業務リスト!O2:O46)</f>
        <v>16.5</v>
      </c>
      <c r="E4" s="41">
        <f t="shared" ref="E4:E8" si="0">C4-D4</f>
        <v>24.5</v>
      </c>
      <c r="F4" s="42">
        <f t="shared" ref="F4:F8" si="1">IFERROR(E4/C4,0)</f>
        <v>0.59756097560975607</v>
      </c>
      <c r="G4" s="43">
        <f>SUMIF(調査業務リスト!E2:E46,"(1) 政策及び制度調査",調査業務リスト!S2:S46)</f>
        <v>660000</v>
      </c>
      <c r="H4" s="43">
        <f>SUMIF(調査業務リスト!E2:E46,"(1) 政策及び制度調査",調査業務リスト!V2:V46)</f>
        <v>660000</v>
      </c>
    </row>
    <row r="5" spans="1:8" ht="16">
      <c r="A5" s="44" t="s">
        <v>506</v>
      </c>
      <c r="B5" s="40">
        <f>COUNTIF(調査業務リスト!E2:E46,"(2) 技術及び手法の調査")</f>
        <v>9</v>
      </c>
      <c r="C5" s="41">
        <f>SUMIF(調査業務リスト!E2:E46,"(2) 技術及び手法の調査",調査業務リスト!L2:L46)</f>
        <v>30</v>
      </c>
      <c r="D5" s="41">
        <f>SUMIF(調査業務リスト!E2:E46,"(2) 技術及び手法の調査",調査業務リスト!O2:O46)</f>
        <v>17.5</v>
      </c>
      <c r="E5" s="41">
        <f t="shared" si="0"/>
        <v>12.5</v>
      </c>
      <c r="F5" s="42">
        <f t="shared" si="1"/>
        <v>0.41666666666666669</v>
      </c>
      <c r="G5" s="43">
        <f>SUMIF(調査業務リスト!E2:E46,"(2) 技術及び手法の調査",調査業務リスト!S2:S46)</f>
        <v>700000</v>
      </c>
      <c r="H5" s="43">
        <f>SUMIF(調査業務リスト!E2:E46,"(2) 技術及び手法の調査",調査業務リスト!V2:V46)</f>
        <v>700000</v>
      </c>
    </row>
    <row r="6" spans="1:8" ht="16">
      <c r="A6" s="45" t="s">
        <v>507</v>
      </c>
      <c r="B6" s="40">
        <f>COUNTIF(調査業務リスト!E2:E46,"(3) 制度を支える情報基盤の構造把握")</f>
        <v>10</v>
      </c>
      <c r="C6" s="41">
        <f>SUMIF(調査業務リスト!E2:E46,"(3) 制度を支える情報基盤の構造把握",調査業務リスト!L2:L46)</f>
        <v>32</v>
      </c>
      <c r="D6" s="41">
        <f>SUMIF(調査業務リスト!E2:E46,"(3) 制度を支える情報基盤の構造把握",調査業務リスト!O2:O46)</f>
        <v>13.5</v>
      </c>
      <c r="E6" s="41">
        <f t="shared" si="0"/>
        <v>18.5</v>
      </c>
      <c r="F6" s="42">
        <f t="shared" si="1"/>
        <v>0.578125</v>
      </c>
      <c r="G6" s="43">
        <f>SUMIF(調査業務リスト!E2:E46,"(3) 制度を支える情報基盤の構造把握",調査業務リスト!S2:S46)</f>
        <v>540000</v>
      </c>
      <c r="H6" s="43">
        <f>SUMIF(調査業務リスト!E2:E46,"(3) 制度を支える情報基盤の構造把握",調査業務リスト!V2:V46)</f>
        <v>540000</v>
      </c>
    </row>
    <row r="7" spans="1:8" ht="16">
      <c r="A7" s="46" t="s">
        <v>508</v>
      </c>
      <c r="B7" s="40">
        <f>COUNTIF(調査業務リスト!E2:E46,"(4) 関係機関及び専門家調査")</f>
        <v>11</v>
      </c>
      <c r="C7" s="41">
        <f>SUMIF(調査業務リスト!E2:E46,"(4) 関係機関及び専門家調査",調査業務リスト!L2:L46)</f>
        <v>18</v>
      </c>
      <c r="D7" s="41">
        <f>SUMIF(調査業務リスト!E2:E46,"(4) 関係機関及び専門家調査",調査業務リスト!O2:O46)</f>
        <v>11</v>
      </c>
      <c r="E7" s="41">
        <f t="shared" si="0"/>
        <v>7</v>
      </c>
      <c r="F7" s="42">
        <f t="shared" si="1"/>
        <v>0.3888888888888889</v>
      </c>
      <c r="G7" s="43">
        <f>SUMIF(調査業務リスト!E2:E46,"(4) 関係機関及び専門家調査",調査業務リスト!S2:S46)</f>
        <v>550000</v>
      </c>
      <c r="H7" s="43">
        <f>SUMIF(調査業務リスト!E2:E46,"(4) 関係機関及び専門家調査",調査業務リスト!V2:V46)</f>
        <v>720000</v>
      </c>
    </row>
    <row r="8" spans="1:8" ht="16">
      <c r="A8" s="47" t="s">
        <v>509</v>
      </c>
      <c r="B8" s="40">
        <f>COUNTIF(調査業務リスト!E2:E46,"横断業務 (統合・PMO)")</f>
        <v>1</v>
      </c>
      <c r="C8" s="41">
        <f>SUMIF(調査業務リスト!E2:E46,"横断業務 (統合・PMO)",調査業務リスト!L2:L46)</f>
        <v>8</v>
      </c>
      <c r="D8" s="41">
        <f>SUMIF(調査業務リスト!E2:E46,"横断業務 (統合・PMO)",調査業務リスト!O2:O46)</f>
        <v>3</v>
      </c>
      <c r="E8" s="41">
        <f t="shared" si="0"/>
        <v>5</v>
      </c>
      <c r="F8" s="42">
        <f t="shared" si="1"/>
        <v>0.625</v>
      </c>
      <c r="G8" s="43">
        <f>SUMIF(調査業務リスト!E2:E46,"横断業務 (統合・PMO)",調査業務リスト!S2:S46)</f>
        <v>150000</v>
      </c>
      <c r="H8" s="43">
        <f>SUMIF(調査業務リスト!E2:E46,"横断業務 (統合・PMO)",調査業務リスト!V2:V46)</f>
        <v>150000</v>
      </c>
    </row>
    <row r="9" spans="1:8">
      <c r="A9" s="48" t="s">
        <v>510</v>
      </c>
      <c r="B9" s="49">
        <v>1</v>
      </c>
      <c r="C9" s="49">
        <v>0</v>
      </c>
      <c r="D9" s="49">
        <v>0</v>
      </c>
      <c r="E9" s="49">
        <v>0</v>
      </c>
      <c r="F9" s="50">
        <v>0</v>
      </c>
      <c r="G9" s="51">
        <v>0</v>
      </c>
      <c r="H9" s="51">
        <v>45000</v>
      </c>
    </row>
    <row r="10" spans="1:8" ht="16">
      <c r="A10" s="52" t="s">
        <v>485</v>
      </c>
      <c r="B10" s="53">
        <f t="shared" ref="B10:E10" si="2">SUM(B4:B9)</f>
        <v>46</v>
      </c>
      <c r="C10" s="54">
        <f t="shared" si="2"/>
        <v>129</v>
      </c>
      <c r="D10" s="54">
        <f t="shared" si="2"/>
        <v>61.5</v>
      </c>
      <c r="E10" s="54">
        <f t="shared" si="2"/>
        <v>67.5</v>
      </c>
      <c r="F10" s="55">
        <f>IFERROR(E10/C10,0)</f>
        <v>0.52325581395348841</v>
      </c>
      <c r="G10" s="29">
        <f t="shared" ref="G10:H10" si="3">SUM(G4:G9)</f>
        <v>2600000</v>
      </c>
      <c r="H10" s="29">
        <f t="shared" si="3"/>
        <v>2815000</v>
      </c>
    </row>
    <row r="12" spans="1:8" ht="16">
      <c r="A12" s="31" t="s">
        <v>486</v>
      </c>
      <c r="H12" s="32">
        <v>3000000</v>
      </c>
    </row>
    <row r="13" spans="1:8" ht="16">
      <c r="A13" s="31" t="s">
        <v>511</v>
      </c>
      <c r="H13" s="56">
        <f>H12-H10</f>
        <v>185000</v>
      </c>
    </row>
    <row r="14" spans="1:8" ht="16">
      <c r="A14" s="31" t="s">
        <v>488</v>
      </c>
      <c r="H14" s="57">
        <f>H10/H12</f>
        <v>0.93833333333333335</v>
      </c>
    </row>
    <row r="16" spans="1:8" ht="16">
      <c r="A16" s="31" t="s">
        <v>489</v>
      </c>
    </row>
    <row r="17" spans="1:8">
      <c r="A17" s="16" t="s">
        <v>512</v>
      </c>
      <c r="D17" s="58">
        <v>13.5</v>
      </c>
      <c r="E17" s="37" t="s">
        <v>491</v>
      </c>
    </row>
    <row r="18" spans="1:8">
      <c r="A18" s="16" t="s">
        <v>513</v>
      </c>
      <c r="D18" s="58">
        <v>20.25</v>
      </c>
      <c r="E18" s="37" t="s">
        <v>491</v>
      </c>
    </row>
    <row r="19" spans="1:8">
      <c r="A19" s="16" t="s">
        <v>514</v>
      </c>
      <c r="D19" s="58">
        <v>9</v>
      </c>
      <c r="E19" s="37" t="s">
        <v>491</v>
      </c>
    </row>
    <row r="20" spans="1:8" ht="16">
      <c r="A20" s="31" t="s">
        <v>494</v>
      </c>
      <c r="D20" s="59">
        <f>D17+D18+D19</f>
        <v>42.75</v>
      </c>
      <c r="E20" s="37" t="s">
        <v>491</v>
      </c>
    </row>
    <row r="21" spans="1:8" ht="15.75" customHeight="1">
      <c r="A21" s="31" t="s">
        <v>515</v>
      </c>
      <c r="D21" s="59">
        <f>D10</f>
        <v>61.5</v>
      </c>
      <c r="E21" s="37" t="s">
        <v>491</v>
      </c>
    </row>
    <row r="22" spans="1:8" ht="15.75" customHeight="1">
      <c r="A22" s="31" t="s">
        <v>516</v>
      </c>
      <c r="D22" s="60">
        <f>D20-D21</f>
        <v>-18.75</v>
      </c>
      <c r="E22" s="37" t="s">
        <v>491</v>
      </c>
    </row>
    <row r="23" spans="1:8" ht="15.75" customHeight="1">
      <c r="A23" s="61" t="s">
        <v>517</v>
      </c>
    </row>
    <row r="24" spans="1:8" ht="15" customHeight="1">
      <c r="A24" s="71" t="s">
        <v>518</v>
      </c>
      <c r="B24" s="70"/>
      <c r="C24" s="70"/>
      <c r="D24" s="70"/>
      <c r="E24" s="70"/>
      <c r="F24" s="70"/>
      <c r="G24" s="70"/>
      <c r="H24" s="70"/>
    </row>
    <row r="25" spans="1:8" ht="15" customHeight="1">
      <c r="A25" s="72" t="s">
        <v>519</v>
      </c>
      <c r="B25" s="70"/>
      <c r="C25" s="70"/>
      <c r="D25" s="70"/>
      <c r="E25" s="70"/>
      <c r="F25" s="70"/>
      <c r="G25" s="70"/>
      <c r="H25" s="70"/>
    </row>
    <row r="26" spans="1:8" ht="15" customHeight="1">
      <c r="A26" s="73" t="s">
        <v>520</v>
      </c>
      <c r="B26" s="70"/>
      <c r="C26" s="70"/>
      <c r="D26" s="70"/>
      <c r="E26" s="70"/>
      <c r="F26" s="70"/>
      <c r="G26" s="70"/>
      <c r="H26" s="70"/>
    </row>
    <row r="27" spans="1:8" ht="15.75" customHeight="1">
      <c r="A27" s="72"/>
      <c r="B27" s="70"/>
      <c r="C27" s="70"/>
      <c r="D27" s="70"/>
      <c r="E27" s="70"/>
      <c r="F27" s="70"/>
      <c r="G27" s="70"/>
      <c r="H27" s="70"/>
    </row>
    <row r="28" spans="1:8" ht="15" customHeight="1">
      <c r="A28" s="71" t="s">
        <v>521</v>
      </c>
      <c r="B28" s="70"/>
      <c r="C28" s="70"/>
      <c r="D28" s="70"/>
      <c r="E28" s="70"/>
      <c r="F28" s="70"/>
      <c r="G28" s="70"/>
      <c r="H28" s="70"/>
    </row>
    <row r="29" spans="1:8" ht="15" customHeight="1">
      <c r="A29" s="72" t="s">
        <v>522</v>
      </c>
      <c r="B29" s="70"/>
      <c r="C29" s="70"/>
      <c r="D29" s="70"/>
      <c r="E29" s="70"/>
      <c r="F29" s="70"/>
      <c r="G29" s="70"/>
      <c r="H29" s="70"/>
    </row>
    <row r="30" spans="1:8" ht="15" customHeight="1">
      <c r="A30" s="73" t="s">
        <v>523</v>
      </c>
      <c r="B30" s="70"/>
      <c r="C30" s="70"/>
      <c r="D30" s="70"/>
      <c r="E30" s="70"/>
      <c r="F30" s="70"/>
      <c r="G30" s="70"/>
      <c r="H30" s="70"/>
    </row>
    <row r="31" spans="1:8" ht="15.75" customHeight="1">
      <c r="A31" s="72"/>
      <c r="B31" s="70"/>
      <c r="C31" s="70"/>
      <c r="D31" s="70"/>
      <c r="E31" s="70"/>
      <c r="F31" s="70"/>
      <c r="G31" s="70"/>
      <c r="H31" s="70"/>
    </row>
    <row r="32" spans="1:8" ht="15" customHeight="1">
      <c r="A32" s="71" t="s">
        <v>524</v>
      </c>
      <c r="B32" s="70"/>
      <c r="C32" s="70"/>
      <c r="D32" s="70"/>
      <c r="E32" s="70"/>
      <c r="F32" s="70"/>
      <c r="G32" s="70"/>
      <c r="H32" s="70"/>
    </row>
    <row r="33" spans="1:8" ht="15" customHeight="1">
      <c r="A33" s="72" t="s">
        <v>525</v>
      </c>
      <c r="B33" s="70"/>
      <c r="C33" s="70"/>
      <c r="D33" s="70"/>
      <c r="E33" s="70"/>
      <c r="F33" s="70"/>
      <c r="G33" s="70"/>
      <c r="H33" s="70"/>
    </row>
    <row r="34" spans="1:8" ht="15" customHeight="1">
      <c r="A34" s="73" t="s">
        <v>526</v>
      </c>
      <c r="B34" s="70"/>
      <c r="C34" s="70"/>
      <c r="D34" s="70"/>
      <c r="E34" s="70"/>
      <c r="F34" s="70"/>
      <c r="G34" s="70"/>
      <c r="H34" s="70"/>
    </row>
    <row r="35" spans="1:8" ht="15.75" customHeight="1">
      <c r="A35" s="72"/>
      <c r="B35" s="70"/>
      <c r="C35" s="70"/>
      <c r="D35" s="70"/>
      <c r="E35" s="70"/>
      <c r="F35" s="70"/>
      <c r="G35" s="70"/>
      <c r="H35" s="70"/>
    </row>
    <row r="36" spans="1:8" ht="15" customHeight="1">
      <c r="A36" s="71" t="s">
        <v>527</v>
      </c>
      <c r="B36" s="70"/>
      <c r="C36" s="70"/>
      <c r="D36" s="70"/>
      <c r="E36" s="70"/>
      <c r="F36" s="70"/>
      <c r="G36" s="70"/>
      <c r="H36" s="70"/>
    </row>
    <row r="37" spans="1:8" ht="15" customHeight="1">
      <c r="A37" s="72" t="s">
        <v>528</v>
      </c>
      <c r="B37" s="70"/>
      <c r="C37" s="70"/>
      <c r="D37" s="70"/>
      <c r="E37" s="70"/>
      <c r="F37" s="70"/>
      <c r="G37" s="70"/>
      <c r="H37" s="70"/>
    </row>
    <row r="38" spans="1:8" ht="15" customHeight="1">
      <c r="A38" s="73" t="s">
        <v>529</v>
      </c>
      <c r="B38" s="70"/>
      <c r="C38" s="70"/>
      <c r="D38" s="70"/>
      <c r="E38" s="70"/>
      <c r="F38" s="70"/>
      <c r="G38" s="70"/>
      <c r="H38" s="70"/>
    </row>
    <row r="39" spans="1:8" ht="15.75" customHeight="1">
      <c r="A39" s="72"/>
      <c r="B39" s="70"/>
      <c r="C39" s="70"/>
      <c r="D39" s="70"/>
      <c r="E39" s="70"/>
      <c r="F39" s="70"/>
      <c r="G39" s="70"/>
      <c r="H39" s="70"/>
    </row>
    <row r="40" spans="1:8" ht="15" customHeight="1">
      <c r="A40" s="71" t="s">
        <v>530</v>
      </c>
      <c r="B40" s="70"/>
      <c r="C40" s="70"/>
      <c r="D40" s="70"/>
      <c r="E40" s="70"/>
      <c r="F40" s="70"/>
      <c r="G40" s="70"/>
      <c r="H40" s="70"/>
    </row>
    <row r="41" spans="1:8" ht="15" customHeight="1">
      <c r="A41" s="73" t="s">
        <v>531</v>
      </c>
      <c r="B41" s="70"/>
      <c r="C41" s="70"/>
      <c r="D41" s="70"/>
      <c r="E41" s="70"/>
      <c r="F41" s="70"/>
      <c r="G41" s="70"/>
      <c r="H41" s="70"/>
    </row>
    <row r="42" spans="1:8" ht="15" customHeight="1">
      <c r="A42" s="73" t="s">
        <v>532</v>
      </c>
      <c r="B42" s="70"/>
      <c r="C42" s="70"/>
      <c r="D42" s="70"/>
      <c r="E42" s="70"/>
      <c r="F42" s="70"/>
      <c r="G42" s="70"/>
      <c r="H42" s="70"/>
    </row>
    <row r="43" spans="1:8" ht="15" customHeight="1">
      <c r="A43" s="73" t="s">
        <v>533</v>
      </c>
      <c r="B43" s="70"/>
      <c r="C43" s="70"/>
      <c r="D43" s="70"/>
      <c r="E43" s="70"/>
      <c r="F43" s="70"/>
      <c r="G43" s="70"/>
      <c r="H43" s="70"/>
    </row>
    <row r="44" spans="1:8" ht="15" customHeight="1">
      <c r="A44" s="73" t="s">
        <v>534</v>
      </c>
      <c r="B44" s="70"/>
      <c r="C44" s="70"/>
      <c r="D44" s="70"/>
      <c r="E44" s="70"/>
      <c r="F44" s="70"/>
      <c r="G44" s="70"/>
      <c r="H44" s="70"/>
    </row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A40:H40"/>
    <mergeCell ref="A41:H41"/>
    <mergeCell ref="A42:H42"/>
    <mergeCell ref="A43:H43"/>
    <mergeCell ref="A44:H44"/>
    <mergeCell ref="A28:H28"/>
    <mergeCell ref="A29:H29"/>
    <mergeCell ref="A37:H37"/>
    <mergeCell ref="A38:H38"/>
    <mergeCell ref="A39:H39"/>
    <mergeCell ref="A30:H30"/>
    <mergeCell ref="A31:H31"/>
    <mergeCell ref="A32:H32"/>
    <mergeCell ref="A33:H33"/>
    <mergeCell ref="A34:H34"/>
    <mergeCell ref="A35:H35"/>
    <mergeCell ref="A36:H36"/>
    <mergeCell ref="A1:H1"/>
    <mergeCell ref="A24:H24"/>
    <mergeCell ref="A25:H25"/>
    <mergeCell ref="A26:H26"/>
    <mergeCell ref="A27:H27"/>
  </mergeCells>
  <phoneticPr fontId="51"/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baseColWidth="10" defaultColWidth="14.5" defaultRowHeight="15" customHeight="1"/>
  <cols>
    <col min="1" max="1" width="32" customWidth="1"/>
    <col min="2" max="2" width="28" customWidth="1"/>
    <col min="3" max="3" width="70" customWidth="1"/>
    <col min="4" max="4" width="14" customWidth="1"/>
    <col min="5" max="26" width="8.6640625" customWidth="1"/>
  </cols>
  <sheetData>
    <row r="1" spans="1:8" ht="20">
      <c r="A1" s="69" t="s">
        <v>535</v>
      </c>
      <c r="B1" s="70"/>
      <c r="C1" s="70"/>
      <c r="D1" s="70"/>
      <c r="E1" s="70"/>
      <c r="F1" s="70"/>
      <c r="G1" s="70"/>
      <c r="H1" s="70"/>
    </row>
    <row r="3" spans="1:8" ht="16">
      <c r="A3" s="62" t="s">
        <v>536</v>
      </c>
      <c r="B3" s="62" t="s">
        <v>537</v>
      </c>
      <c r="C3" s="62" t="s">
        <v>538</v>
      </c>
      <c r="D3" s="62" t="s">
        <v>539</v>
      </c>
    </row>
    <row r="4" spans="1:8" ht="60" customHeight="1">
      <c r="A4" s="63" t="s">
        <v>540</v>
      </c>
      <c r="B4" s="64" t="s">
        <v>541</v>
      </c>
      <c r="C4" s="65" t="s">
        <v>542</v>
      </c>
      <c r="D4" s="65" t="s">
        <v>543</v>
      </c>
    </row>
    <row r="5" spans="1:8" ht="60" customHeight="1">
      <c r="A5" s="63" t="s">
        <v>544</v>
      </c>
      <c r="B5" s="64" t="s">
        <v>545</v>
      </c>
      <c r="C5" s="65" t="s">
        <v>546</v>
      </c>
      <c r="D5" s="65" t="s">
        <v>547</v>
      </c>
    </row>
    <row r="6" spans="1:8" ht="60" customHeight="1">
      <c r="A6" s="63" t="s">
        <v>548</v>
      </c>
      <c r="B6" s="64" t="s">
        <v>549</v>
      </c>
      <c r="C6" s="65" t="s">
        <v>550</v>
      </c>
      <c r="D6" s="65" t="s">
        <v>551</v>
      </c>
    </row>
    <row r="7" spans="1:8" ht="60" customHeight="1">
      <c r="A7" s="63" t="s">
        <v>552</v>
      </c>
      <c r="B7" s="64" t="s">
        <v>553</v>
      </c>
      <c r="C7" s="65" t="s">
        <v>554</v>
      </c>
      <c r="D7" s="65" t="s">
        <v>555</v>
      </c>
    </row>
    <row r="10" spans="1:8" ht="16">
      <c r="A10" s="31" t="s">
        <v>556</v>
      </c>
    </row>
    <row r="11" spans="1:8" ht="15" customHeight="1">
      <c r="A11" s="73" t="s">
        <v>557</v>
      </c>
      <c r="B11" s="70"/>
      <c r="C11" s="70"/>
      <c r="D11" s="70"/>
    </row>
    <row r="12" spans="1:8" ht="15" customHeight="1">
      <c r="A12" s="73" t="s">
        <v>558</v>
      </c>
      <c r="B12" s="70"/>
      <c r="C12" s="70"/>
      <c r="D12" s="70"/>
    </row>
    <row r="13" spans="1:8" ht="15" customHeight="1">
      <c r="A13" s="73" t="s">
        <v>559</v>
      </c>
      <c r="B13" s="70"/>
      <c r="C13" s="70"/>
      <c r="D13" s="70"/>
    </row>
    <row r="14" spans="1:8" ht="15" customHeight="1">
      <c r="A14" s="73" t="s">
        <v>560</v>
      </c>
      <c r="B14" s="70"/>
      <c r="C14" s="70"/>
      <c r="D14" s="70"/>
    </row>
    <row r="15" spans="1:8" ht="15" customHeight="1">
      <c r="A15" s="73" t="s">
        <v>561</v>
      </c>
      <c r="B15" s="70"/>
      <c r="C15" s="70"/>
      <c r="D15" s="70"/>
    </row>
    <row r="16" spans="1:8" ht="15" customHeight="1">
      <c r="A16" s="73" t="s">
        <v>562</v>
      </c>
      <c r="B16" s="70"/>
      <c r="C16" s="70"/>
      <c r="D16" s="70"/>
    </row>
    <row r="17" spans="1:4" ht="15" customHeight="1">
      <c r="A17" s="73" t="s">
        <v>563</v>
      </c>
      <c r="B17" s="70"/>
      <c r="C17" s="70"/>
      <c r="D17" s="70"/>
    </row>
    <row r="18" spans="1:4" ht="15" customHeight="1">
      <c r="A18" s="73" t="s">
        <v>564</v>
      </c>
      <c r="B18" s="70"/>
      <c r="C18" s="70"/>
      <c r="D18" s="70"/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7:D17"/>
    <mergeCell ref="A18:D18"/>
    <mergeCell ref="A1:H1"/>
    <mergeCell ref="A11:D11"/>
    <mergeCell ref="A12:D12"/>
    <mergeCell ref="A13:D13"/>
    <mergeCell ref="A14:D14"/>
    <mergeCell ref="A15:D15"/>
    <mergeCell ref="A16:D16"/>
  </mergeCells>
  <phoneticPr fontId="51"/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0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10" defaultColWidth="14.5" defaultRowHeight="15" customHeight="1"/>
  <cols>
    <col min="1" max="1" width="5" customWidth="1"/>
    <col min="2" max="2" width="20" customWidth="1"/>
    <col min="3" max="3" width="28" customWidth="1"/>
    <col min="4" max="4" width="6" customWidth="1"/>
    <col min="5" max="5" width="38" customWidth="1"/>
    <col min="6" max="6" width="9" customWidth="1"/>
    <col min="7" max="7" width="11" customWidth="1"/>
    <col min="8" max="8" width="10" customWidth="1"/>
    <col min="9" max="9" width="32" customWidth="1"/>
    <col min="10" max="10" width="11" customWidth="1"/>
    <col min="11" max="11" width="12" customWidth="1"/>
    <col min="12" max="12" width="13" customWidth="1"/>
    <col min="13" max="13" width="12" customWidth="1"/>
    <col min="14" max="14" width="15" customWidth="1"/>
    <col min="15" max="15" width="32" customWidth="1"/>
    <col min="16" max="26" width="8.6640625" customWidth="1"/>
  </cols>
  <sheetData>
    <row r="1" spans="1:15" ht="20">
      <c r="A1" s="69" t="s">
        <v>565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</row>
    <row r="2" spans="1:15">
      <c r="A2" s="80" t="s">
        <v>566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</row>
    <row r="4" spans="1:15" ht="45" customHeight="1">
      <c r="A4" s="1" t="s">
        <v>0</v>
      </c>
      <c r="B4" s="2" t="s">
        <v>4</v>
      </c>
      <c r="C4" s="2" t="s">
        <v>567</v>
      </c>
      <c r="D4" s="2" t="s">
        <v>568</v>
      </c>
      <c r="E4" s="2" t="s">
        <v>8</v>
      </c>
      <c r="F4" s="2" t="s">
        <v>569</v>
      </c>
      <c r="G4" s="1" t="s">
        <v>570</v>
      </c>
      <c r="H4" s="1" t="s">
        <v>571</v>
      </c>
      <c r="I4" s="1" t="s">
        <v>572</v>
      </c>
      <c r="J4" s="1" t="s">
        <v>573</v>
      </c>
      <c r="K4" s="2" t="s">
        <v>574</v>
      </c>
      <c r="L4" s="2" t="s">
        <v>575</v>
      </c>
      <c r="M4" s="2" t="s">
        <v>576</v>
      </c>
      <c r="N4" s="2" t="s">
        <v>577</v>
      </c>
      <c r="O4" s="2" t="s">
        <v>578</v>
      </c>
    </row>
    <row r="5" spans="1:15" ht="39">
      <c r="A5" s="66">
        <v>1</v>
      </c>
      <c r="B5" s="5" t="s">
        <v>579</v>
      </c>
      <c r="C5" s="21" t="s">
        <v>580</v>
      </c>
      <c r="D5" s="67" t="s">
        <v>32</v>
      </c>
      <c r="E5" s="12" t="s">
        <v>581</v>
      </c>
      <c r="F5" s="6">
        <v>5</v>
      </c>
      <c r="G5" s="6">
        <v>3</v>
      </c>
      <c r="H5" s="7">
        <v>60</v>
      </c>
      <c r="I5" s="8" t="s">
        <v>582</v>
      </c>
      <c r="J5" s="9">
        <f t="shared" ref="J5:J22" si="0">ROUND(G5*(1-H5/100)*2,0)/2</f>
        <v>1</v>
      </c>
      <c r="K5" s="10">
        <v>40000</v>
      </c>
      <c r="L5" s="11">
        <f t="shared" ref="L5:L22" si="1">J5*K5</f>
        <v>40000</v>
      </c>
      <c r="M5" s="10">
        <v>0</v>
      </c>
      <c r="N5" s="11">
        <f t="shared" ref="N5:N23" si="2">L5+M5</f>
        <v>40000</v>
      </c>
      <c r="O5" s="13" t="s">
        <v>583</v>
      </c>
    </row>
    <row r="6" spans="1:15" ht="39">
      <c r="A6" s="66">
        <v>2</v>
      </c>
      <c r="B6" s="5" t="s">
        <v>584</v>
      </c>
      <c r="C6" s="21" t="s">
        <v>580</v>
      </c>
      <c r="D6" s="67" t="s">
        <v>44</v>
      </c>
      <c r="E6" s="21" t="s">
        <v>45</v>
      </c>
      <c r="F6" s="6">
        <v>5</v>
      </c>
      <c r="G6" s="6">
        <v>4</v>
      </c>
      <c r="H6" s="7">
        <v>60</v>
      </c>
      <c r="I6" s="8" t="s">
        <v>585</v>
      </c>
      <c r="J6" s="9">
        <f t="shared" si="0"/>
        <v>1.5</v>
      </c>
      <c r="K6" s="10">
        <v>40000</v>
      </c>
      <c r="L6" s="11">
        <f t="shared" si="1"/>
        <v>60000</v>
      </c>
      <c r="M6" s="10">
        <v>0</v>
      </c>
      <c r="N6" s="11">
        <f t="shared" si="2"/>
        <v>60000</v>
      </c>
      <c r="O6" s="13" t="s">
        <v>586</v>
      </c>
    </row>
    <row r="7" spans="1:15" ht="28">
      <c r="A7" s="66">
        <v>3</v>
      </c>
      <c r="B7" s="5" t="s">
        <v>587</v>
      </c>
      <c r="C7" s="21" t="s">
        <v>588</v>
      </c>
      <c r="D7" s="67" t="s">
        <v>32</v>
      </c>
      <c r="E7" s="21" t="s">
        <v>115</v>
      </c>
      <c r="F7" s="6">
        <v>5</v>
      </c>
      <c r="G7" s="6">
        <v>3</v>
      </c>
      <c r="H7" s="7">
        <v>65</v>
      </c>
      <c r="I7" s="8" t="s">
        <v>589</v>
      </c>
      <c r="J7" s="9">
        <f t="shared" si="0"/>
        <v>1</v>
      </c>
      <c r="K7" s="10">
        <v>40000</v>
      </c>
      <c r="L7" s="11">
        <f t="shared" si="1"/>
        <v>40000</v>
      </c>
      <c r="M7" s="10">
        <v>0</v>
      </c>
      <c r="N7" s="11">
        <f t="shared" si="2"/>
        <v>40000</v>
      </c>
      <c r="O7" s="13"/>
    </row>
    <row r="8" spans="1:15" ht="16">
      <c r="A8" s="66">
        <v>4</v>
      </c>
      <c r="B8" s="5" t="s">
        <v>590</v>
      </c>
      <c r="C8" s="21" t="s">
        <v>591</v>
      </c>
      <c r="D8" s="67" t="s">
        <v>44</v>
      </c>
      <c r="E8" s="21" t="s">
        <v>124</v>
      </c>
      <c r="F8" s="6">
        <v>5</v>
      </c>
      <c r="G8" s="6">
        <v>4</v>
      </c>
      <c r="H8" s="7">
        <v>50</v>
      </c>
      <c r="I8" s="8" t="s">
        <v>592</v>
      </c>
      <c r="J8" s="9">
        <f t="shared" si="0"/>
        <v>2</v>
      </c>
      <c r="K8" s="10">
        <v>40000</v>
      </c>
      <c r="L8" s="11">
        <f t="shared" si="1"/>
        <v>80000</v>
      </c>
      <c r="M8" s="10">
        <v>0</v>
      </c>
      <c r="N8" s="11">
        <f t="shared" si="2"/>
        <v>80000</v>
      </c>
      <c r="O8" s="13" t="s">
        <v>128</v>
      </c>
    </row>
    <row r="9" spans="1:15" ht="28">
      <c r="A9" s="66">
        <v>5</v>
      </c>
      <c r="B9" s="5" t="s">
        <v>593</v>
      </c>
      <c r="C9" s="21" t="s">
        <v>143</v>
      </c>
      <c r="D9" s="67" t="s">
        <v>32</v>
      </c>
      <c r="E9" s="21" t="s">
        <v>144</v>
      </c>
      <c r="F9" s="6">
        <v>5</v>
      </c>
      <c r="G9" s="6">
        <v>4</v>
      </c>
      <c r="H9" s="7">
        <v>50</v>
      </c>
      <c r="I9" s="8" t="s">
        <v>594</v>
      </c>
      <c r="J9" s="9">
        <f t="shared" si="0"/>
        <v>2</v>
      </c>
      <c r="K9" s="10">
        <v>40000</v>
      </c>
      <c r="L9" s="11">
        <f t="shared" si="1"/>
        <v>80000</v>
      </c>
      <c r="M9" s="10">
        <v>0</v>
      </c>
      <c r="N9" s="11">
        <f t="shared" si="2"/>
        <v>80000</v>
      </c>
      <c r="O9" s="13" t="s">
        <v>148</v>
      </c>
    </row>
    <row r="10" spans="1:15" ht="28">
      <c r="A10" s="66">
        <v>6</v>
      </c>
      <c r="B10" s="5" t="s">
        <v>595</v>
      </c>
      <c r="C10" s="21" t="s">
        <v>143</v>
      </c>
      <c r="D10" s="67" t="s">
        <v>44</v>
      </c>
      <c r="E10" s="21" t="s">
        <v>153</v>
      </c>
      <c r="F10" s="6">
        <v>5</v>
      </c>
      <c r="G10" s="6">
        <v>3</v>
      </c>
      <c r="H10" s="7">
        <v>65</v>
      </c>
      <c r="I10" s="8" t="s">
        <v>596</v>
      </c>
      <c r="J10" s="9">
        <f t="shared" si="0"/>
        <v>1</v>
      </c>
      <c r="K10" s="10">
        <v>40000</v>
      </c>
      <c r="L10" s="11">
        <f t="shared" si="1"/>
        <v>40000</v>
      </c>
      <c r="M10" s="10">
        <v>0</v>
      </c>
      <c r="N10" s="11">
        <f t="shared" si="2"/>
        <v>40000</v>
      </c>
      <c r="O10" s="13"/>
    </row>
    <row r="11" spans="1:15" ht="32">
      <c r="A11" s="66">
        <v>7</v>
      </c>
      <c r="B11" s="17" t="s">
        <v>597</v>
      </c>
      <c r="C11" s="21" t="s">
        <v>598</v>
      </c>
      <c r="D11" s="67" t="s">
        <v>32</v>
      </c>
      <c r="E11" s="21" t="s">
        <v>599</v>
      </c>
      <c r="F11" s="6">
        <v>5</v>
      </c>
      <c r="G11" s="6">
        <v>3</v>
      </c>
      <c r="H11" s="7">
        <v>40</v>
      </c>
      <c r="I11" s="8" t="s">
        <v>600</v>
      </c>
      <c r="J11" s="9">
        <f t="shared" si="0"/>
        <v>2</v>
      </c>
      <c r="K11" s="10">
        <v>40000</v>
      </c>
      <c r="L11" s="11">
        <f t="shared" si="1"/>
        <v>80000</v>
      </c>
      <c r="M11" s="10">
        <v>0</v>
      </c>
      <c r="N11" s="11">
        <f t="shared" si="2"/>
        <v>80000</v>
      </c>
      <c r="O11" s="13" t="s">
        <v>174</v>
      </c>
    </row>
    <row r="12" spans="1:15" ht="32">
      <c r="A12" s="66">
        <v>8</v>
      </c>
      <c r="B12" s="17" t="s">
        <v>601</v>
      </c>
      <c r="C12" s="21" t="s">
        <v>602</v>
      </c>
      <c r="D12" s="67" t="s">
        <v>44</v>
      </c>
      <c r="E12" s="21" t="s">
        <v>180</v>
      </c>
      <c r="F12" s="6">
        <v>5</v>
      </c>
      <c r="G12" s="6">
        <v>3</v>
      </c>
      <c r="H12" s="7">
        <v>40</v>
      </c>
      <c r="I12" s="8" t="s">
        <v>603</v>
      </c>
      <c r="J12" s="9">
        <f t="shared" si="0"/>
        <v>2</v>
      </c>
      <c r="K12" s="10">
        <v>40000</v>
      </c>
      <c r="L12" s="11">
        <f t="shared" si="1"/>
        <v>80000</v>
      </c>
      <c r="M12" s="10">
        <v>0</v>
      </c>
      <c r="N12" s="11">
        <f t="shared" si="2"/>
        <v>80000</v>
      </c>
      <c r="O12" s="13"/>
    </row>
    <row r="13" spans="1:15" ht="32">
      <c r="A13" s="66">
        <v>9</v>
      </c>
      <c r="B13" s="17" t="s">
        <v>604</v>
      </c>
      <c r="C13" s="21" t="s">
        <v>605</v>
      </c>
      <c r="D13" s="67" t="s">
        <v>55</v>
      </c>
      <c r="E13" s="21" t="s">
        <v>606</v>
      </c>
      <c r="F13" s="6">
        <v>5</v>
      </c>
      <c r="G13" s="6">
        <v>4</v>
      </c>
      <c r="H13" s="7">
        <v>50</v>
      </c>
      <c r="I13" s="8" t="s">
        <v>607</v>
      </c>
      <c r="J13" s="9">
        <f t="shared" si="0"/>
        <v>2</v>
      </c>
      <c r="K13" s="10">
        <v>40000</v>
      </c>
      <c r="L13" s="11">
        <f t="shared" si="1"/>
        <v>80000</v>
      </c>
      <c r="M13" s="10">
        <v>0</v>
      </c>
      <c r="N13" s="11">
        <f t="shared" si="2"/>
        <v>80000</v>
      </c>
      <c r="O13" s="13" t="s">
        <v>608</v>
      </c>
    </row>
    <row r="14" spans="1:15" ht="32">
      <c r="A14" s="66">
        <v>10</v>
      </c>
      <c r="B14" s="17" t="s">
        <v>609</v>
      </c>
      <c r="C14" s="21" t="s">
        <v>198</v>
      </c>
      <c r="D14" s="67" t="s">
        <v>32</v>
      </c>
      <c r="E14" s="21" t="s">
        <v>199</v>
      </c>
      <c r="F14" s="6">
        <v>5</v>
      </c>
      <c r="G14" s="6">
        <v>4</v>
      </c>
      <c r="H14" s="7">
        <v>30</v>
      </c>
      <c r="I14" s="8" t="s">
        <v>610</v>
      </c>
      <c r="J14" s="9">
        <f t="shared" si="0"/>
        <v>3</v>
      </c>
      <c r="K14" s="10">
        <v>40000</v>
      </c>
      <c r="L14" s="11">
        <f t="shared" si="1"/>
        <v>120000</v>
      </c>
      <c r="M14" s="10">
        <v>0</v>
      </c>
      <c r="N14" s="11">
        <f t="shared" si="2"/>
        <v>120000</v>
      </c>
      <c r="O14" s="13" t="s">
        <v>203</v>
      </c>
    </row>
    <row r="15" spans="1:15" ht="32">
      <c r="A15" s="66">
        <v>11</v>
      </c>
      <c r="B15" s="17" t="s">
        <v>611</v>
      </c>
      <c r="C15" s="21" t="s">
        <v>198</v>
      </c>
      <c r="D15" s="67" t="s">
        <v>44</v>
      </c>
      <c r="E15" s="21" t="s">
        <v>208</v>
      </c>
      <c r="F15" s="6">
        <v>5</v>
      </c>
      <c r="G15" s="6">
        <v>4</v>
      </c>
      <c r="H15" s="7">
        <v>40</v>
      </c>
      <c r="I15" s="8" t="s">
        <v>612</v>
      </c>
      <c r="J15" s="9">
        <f t="shared" si="0"/>
        <v>2.5</v>
      </c>
      <c r="K15" s="10">
        <v>40000</v>
      </c>
      <c r="L15" s="11">
        <f t="shared" si="1"/>
        <v>100000</v>
      </c>
      <c r="M15" s="10">
        <v>0</v>
      </c>
      <c r="N15" s="11">
        <f t="shared" si="2"/>
        <v>100000</v>
      </c>
      <c r="O15" s="13"/>
    </row>
    <row r="16" spans="1:15" ht="32">
      <c r="A16" s="66">
        <v>12</v>
      </c>
      <c r="B16" s="18" t="s">
        <v>613</v>
      </c>
      <c r="C16" s="21" t="s">
        <v>614</v>
      </c>
      <c r="D16" s="67" t="s">
        <v>32</v>
      </c>
      <c r="E16" s="12" t="s">
        <v>615</v>
      </c>
      <c r="F16" s="6">
        <v>5</v>
      </c>
      <c r="G16" s="6">
        <v>4</v>
      </c>
      <c r="H16" s="7">
        <v>70</v>
      </c>
      <c r="I16" s="8" t="s">
        <v>616</v>
      </c>
      <c r="J16" s="9">
        <f t="shared" si="0"/>
        <v>1</v>
      </c>
      <c r="K16" s="10">
        <v>40000</v>
      </c>
      <c r="L16" s="11">
        <f t="shared" si="1"/>
        <v>40000</v>
      </c>
      <c r="M16" s="10">
        <v>0</v>
      </c>
      <c r="N16" s="11">
        <f t="shared" si="2"/>
        <v>40000</v>
      </c>
      <c r="O16" s="19" t="s">
        <v>617</v>
      </c>
    </row>
    <row r="17" spans="1:15" ht="32">
      <c r="A17" s="66">
        <v>13</v>
      </c>
      <c r="B17" s="18" t="s">
        <v>618</v>
      </c>
      <c r="C17" s="21" t="s">
        <v>619</v>
      </c>
      <c r="D17" s="67" t="s">
        <v>44</v>
      </c>
      <c r="E17" s="21" t="s">
        <v>262</v>
      </c>
      <c r="F17" s="6">
        <v>5</v>
      </c>
      <c r="G17" s="6">
        <v>4</v>
      </c>
      <c r="H17" s="7">
        <v>65</v>
      </c>
      <c r="I17" s="8" t="s">
        <v>620</v>
      </c>
      <c r="J17" s="9">
        <f t="shared" si="0"/>
        <v>1.5</v>
      </c>
      <c r="K17" s="10">
        <v>40000</v>
      </c>
      <c r="L17" s="11">
        <f t="shared" si="1"/>
        <v>60000</v>
      </c>
      <c r="M17" s="10">
        <v>0</v>
      </c>
      <c r="N17" s="11">
        <f t="shared" si="2"/>
        <v>60000</v>
      </c>
      <c r="O17" s="13"/>
    </row>
    <row r="18" spans="1:15" ht="32">
      <c r="A18" s="66">
        <v>14</v>
      </c>
      <c r="B18" s="18" t="s">
        <v>621</v>
      </c>
      <c r="C18" s="21" t="s">
        <v>288</v>
      </c>
      <c r="D18" s="67" t="s">
        <v>32</v>
      </c>
      <c r="E18" s="21" t="s">
        <v>289</v>
      </c>
      <c r="F18" s="6">
        <v>5</v>
      </c>
      <c r="G18" s="6">
        <v>4</v>
      </c>
      <c r="H18" s="7">
        <v>40</v>
      </c>
      <c r="I18" s="8" t="s">
        <v>622</v>
      </c>
      <c r="J18" s="9">
        <f t="shared" si="0"/>
        <v>2.5</v>
      </c>
      <c r="K18" s="10">
        <v>40000</v>
      </c>
      <c r="L18" s="11">
        <f t="shared" si="1"/>
        <v>100000</v>
      </c>
      <c r="M18" s="10">
        <v>0</v>
      </c>
      <c r="N18" s="11">
        <f t="shared" si="2"/>
        <v>100000</v>
      </c>
      <c r="O18" s="13" t="s">
        <v>293</v>
      </c>
    </row>
    <row r="19" spans="1:15" ht="32">
      <c r="A19" s="66">
        <v>15</v>
      </c>
      <c r="B19" s="18" t="s">
        <v>623</v>
      </c>
      <c r="C19" s="21" t="s">
        <v>288</v>
      </c>
      <c r="D19" s="67" t="s">
        <v>44</v>
      </c>
      <c r="E19" s="21" t="s">
        <v>298</v>
      </c>
      <c r="F19" s="6">
        <v>5</v>
      </c>
      <c r="G19" s="6">
        <v>4</v>
      </c>
      <c r="H19" s="7">
        <v>50</v>
      </c>
      <c r="I19" s="8" t="s">
        <v>624</v>
      </c>
      <c r="J19" s="9">
        <f t="shared" si="0"/>
        <v>2</v>
      </c>
      <c r="K19" s="10">
        <v>40000</v>
      </c>
      <c r="L19" s="11">
        <f t="shared" si="1"/>
        <v>80000</v>
      </c>
      <c r="M19" s="10">
        <v>0</v>
      </c>
      <c r="N19" s="11">
        <f t="shared" si="2"/>
        <v>80000</v>
      </c>
      <c r="O19" s="13"/>
    </row>
    <row r="20" spans="1:15" ht="32">
      <c r="A20" s="66">
        <v>16</v>
      </c>
      <c r="B20" s="20" t="s">
        <v>625</v>
      </c>
      <c r="C20" s="21" t="s">
        <v>626</v>
      </c>
      <c r="D20" s="67" t="s">
        <v>32</v>
      </c>
      <c r="E20" s="21" t="s">
        <v>627</v>
      </c>
      <c r="F20" s="6">
        <v>5</v>
      </c>
      <c r="G20" s="6">
        <v>4</v>
      </c>
      <c r="H20" s="7">
        <v>30</v>
      </c>
      <c r="I20" s="8" t="s">
        <v>628</v>
      </c>
      <c r="J20" s="9">
        <f t="shared" si="0"/>
        <v>3</v>
      </c>
      <c r="K20" s="10">
        <v>50000</v>
      </c>
      <c r="L20" s="11">
        <f t="shared" si="1"/>
        <v>150000</v>
      </c>
      <c r="M20" s="10">
        <v>30000</v>
      </c>
      <c r="N20" s="11">
        <f t="shared" si="2"/>
        <v>180000</v>
      </c>
      <c r="O20" s="13" t="s">
        <v>629</v>
      </c>
    </row>
    <row r="21" spans="1:15" ht="15.75" customHeight="1">
      <c r="A21" s="66">
        <v>17</v>
      </c>
      <c r="B21" s="20" t="s">
        <v>630</v>
      </c>
      <c r="C21" s="12" t="s">
        <v>631</v>
      </c>
      <c r="D21" s="67" t="s">
        <v>32</v>
      </c>
      <c r="E21" s="12" t="s">
        <v>632</v>
      </c>
      <c r="F21" s="6">
        <v>5</v>
      </c>
      <c r="G21" s="6">
        <v>3</v>
      </c>
      <c r="H21" s="7">
        <v>30</v>
      </c>
      <c r="I21" s="8" t="s">
        <v>633</v>
      </c>
      <c r="J21" s="9">
        <f t="shared" si="0"/>
        <v>2</v>
      </c>
      <c r="K21" s="10">
        <v>50000</v>
      </c>
      <c r="L21" s="11">
        <f t="shared" si="1"/>
        <v>100000</v>
      </c>
      <c r="M21" s="10">
        <v>30000</v>
      </c>
      <c r="N21" s="11">
        <f t="shared" si="2"/>
        <v>130000</v>
      </c>
      <c r="O21" s="13" t="s">
        <v>634</v>
      </c>
    </row>
    <row r="22" spans="1:15" ht="15.75" customHeight="1">
      <c r="A22" s="66" t="s">
        <v>464</v>
      </c>
      <c r="B22" s="22" t="s">
        <v>635</v>
      </c>
      <c r="C22" s="21" t="s">
        <v>636</v>
      </c>
      <c r="D22" s="23" t="s">
        <v>469</v>
      </c>
      <c r="E22" s="21" t="s">
        <v>637</v>
      </c>
      <c r="F22" s="6">
        <v>5</v>
      </c>
      <c r="G22" s="6">
        <v>5</v>
      </c>
      <c r="H22" s="7">
        <v>60</v>
      </c>
      <c r="I22" s="8" t="s">
        <v>638</v>
      </c>
      <c r="J22" s="9">
        <f t="shared" si="0"/>
        <v>2</v>
      </c>
      <c r="K22" s="10">
        <v>50000</v>
      </c>
      <c r="L22" s="11">
        <f t="shared" si="1"/>
        <v>100000</v>
      </c>
      <c r="M22" s="10">
        <v>0</v>
      </c>
      <c r="N22" s="11">
        <f t="shared" si="2"/>
        <v>100000</v>
      </c>
      <c r="O22" s="13" t="s">
        <v>639</v>
      </c>
    </row>
    <row r="23" spans="1:15" ht="15.75" customHeight="1">
      <c r="A23" s="66" t="s">
        <v>477</v>
      </c>
      <c r="B23" s="25" t="s">
        <v>640</v>
      </c>
      <c r="C23" s="24"/>
      <c r="D23" s="24"/>
      <c r="E23" s="12" t="s">
        <v>641</v>
      </c>
      <c r="F23" s="24"/>
      <c r="G23" s="24"/>
      <c r="H23" s="24"/>
      <c r="I23" s="24"/>
      <c r="J23" s="24"/>
      <c r="K23" s="24"/>
      <c r="L23" s="68">
        <v>0</v>
      </c>
      <c r="M23" s="10">
        <v>45000</v>
      </c>
      <c r="N23" s="11">
        <f t="shared" si="2"/>
        <v>45000</v>
      </c>
      <c r="O23" s="19" t="s">
        <v>642</v>
      </c>
    </row>
    <row r="24" spans="1:15" ht="27.75" customHeight="1">
      <c r="A24" s="26"/>
      <c r="B24" s="27" t="s">
        <v>485</v>
      </c>
      <c r="C24" s="26"/>
      <c r="D24" s="26"/>
      <c r="E24" s="26"/>
      <c r="F24" s="26"/>
      <c r="G24" s="28">
        <f>SUM(G5:G22)</f>
        <v>67</v>
      </c>
      <c r="H24" s="26"/>
      <c r="I24" s="26"/>
      <c r="J24" s="28">
        <f>SUM(J5:J22)</f>
        <v>34</v>
      </c>
      <c r="K24" s="26"/>
      <c r="L24" s="29">
        <f t="shared" ref="L24:N24" si="3">SUM(L5:L23)</f>
        <v>1430000</v>
      </c>
      <c r="M24" s="29">
        <f t="shared" si="3"/>
        <v>105000</v>
      </c>
      <c r="N24" s="30">
        <f t="shared" si="3"/>
        <v>1535000</v>
      </c>
      <c r="O24" s="26"/>
    </row>
    <row r="25" spans="1:15" ht="15.75" customHeight="1"/>
    <row r="26" spans="1:15" ht="15.75" customHeight="1">
      <c r="B26" s="31" t="s">
        <v>643</v>
      </c>
    </row>
    <row r="27" spans="1:15" ht="15.75" customHeight="1">
      <c r="B27" s="31" t="s">
        <v>486</v>
      </c>
      <c r="N27" s="32">
        <v>3000000</v>
      </c>
    </row>
    <row r="28" spans="1:15" ht="15.75" customHeight="1">
      <c r="B28" s="31" t="s">
        <v>487</v>
      </c>
      <c r="N28" s="33">
        <f>N27-N24</f>
        <v>1465000</v>
      </c>
    </row>
    <row r="29" spans="1:15" ht="15.75" customHeight="1">
      <c r="B29" s="31" t="s">
        <v>488</v>
      </c>
      <c r="N29" s="57">
        <f>N24/N27</f>
        <v>0.51166666666666671</v>
      </c>
    </row>
    <row r="30" spans="1:15" ht="15.75" customHeight="1"/>
    <row r="31" spans="1:15" ht="15.75" customHeight="1">
      <c r="B31" s="31" t="s">
        <v>489</v>
      </c>
    </row>
    <row r="32" spans="1:15" ht="15.75" customHeight="1">
      <c r="B32" s="16" t="s">
        <v>644</v>
      </c>
      <c r="J32" s="36">
        <v>13.5</v>
      </c>
      <c r="K32" s="37" t="s">
        <v>491</v>
      </c>
    </row>
    <row r="33" spans="2:15" ht="15.75" customHeight="1">
      <c r="B33" s="16" t="s">
        <v>645</v>
      </c>
      <c r="J33" s="36">
        <v>20.25</v>
      </c>
      <c r="K33" s="37" t="s">
        <v>491</v>
      </c>
    </row>
    <row r="34" spans="2:15" ht="15.75" customHeight="1">
      <c r="B34" s="16" t="s">
        <v>646</v>
      </c>
      <c r="J34" s="36">
        <v>9</v>
      </c>
      <c r="K34" s="37" t="s">
        <v>491</v>
      </c>
    </row>
    <row r="35" spans="2:15" ht="15.75" customHeight="1">
      <c r="B35" s="31" t="s">
        <v>494</v>
      </c>
      <c r="J35" s="36">
        <f>J32+J33+J34</f>
        <v>42.75</v>
      </c>
      <c r="K35" s="37" t="s">
        <v>491</v>
      </c>
    </row>
    <row r="36" spans="2:15" ht="15.75" customHeight="1">
      <c r="B36" s="31" t="s">
        <v>647</v>
      </c>
      <c r="J36" s="36">
        <f>J24</f>
        <v>34</v>
      </c>
      <c r="K36" s="37" t="s">
        <v>491</v>
      </c>
    </row>
    <row r="37" spans="2:15" ht="15.75" customHeight="1">
      <c r="B37" s="31" t="s">
        <v>516</v>
      </c>
      <c r="J37" s="38">
        <f>J35-J36</f>
        <v>8.75</v>
      </c>
      <c r="K37" s="37" t="s">
        <v>491</v>
      </c>
    </row>
    <row r="38" spans="2:15" ht="15.75" customHeight="1"/>
    <row r="39" spans="2:15" ht="15.75" customHeight="1"/>
    <row r="40" spans="2:15" ht="15.75" customHeight="1">
      <c r="B40" s="31" t="s">
        <v>648</v>
      </c>
    </row>
    <row r="41" spans="2:15" ht="15" customHeight="1">
      <c r="B41" s="71" t="s">
        <v>649</v>
      </c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</row>
    <row r="42" spans="2:15" ht="15" customHeight="1">
      <c r="B42" s="71" t="s">
        <v>650</v>
      </c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</row>
    <row r="43" spans="2:15" ht="15" customHeight="1">
      <c r="B43" s="72" t="s">
        <v>651</v>
      </c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</row>
    <row r="44" spans="2:15" ht="15" customHeight="1">
      <c r="B44" s="73" t="s">
        <v>652</v>
      </c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</row>
    <row r="45" spans="2:15" ht="15.75" customHeight="1">
      <c r="B45" s="72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</row>
    <row r="46" spans="2:15" ht="15" customHeight="1">
      <c r="B46" s="71" t="s">
        <v>653</v>
      </c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</row>
    <row r="47" spans="2:15" ht="15" customHeight="1">
      <c r="B47" s="73" t="s">
        <v>654</v>
      </c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</row>
    <row r="48" spans="2:15" ht="15" customHeight="1">
      <c r="B48" s="73" t="s">
        <v>655</v>
      </c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</row>
    <row r="49" spans="2:15" ht="15.75" customHeight="1">
      <c r="B49" s="72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</row>
    <row r="50" spans="2:15" ht="15" customHeight="1">
      <c r="B50" s="71" t="s">
        <v>656</v>
      </c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</row>
    <row r="51" spans="2:15" ht="15" customHeight="1">
      <c r="B51" s="72" t="s">
        <v>657</v>
      </c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</row>
    <row r="52" spans="2:15" ht="15" customHeight="1">
      <c r="B52" s="73" t="s">
        <v>658</v>
      </c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</row>
    <row r="53" spans="2:15" ht="15.75" customHeight="1">
      <c r="B53" s="72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</row>
    <row r="54" spans="2:15" ht="15" customHeight="1">
      <c r="B54" s="71" t="s">
        <v>659</v>
      </c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</row>
    <row r="55" spans="2:15" ht="15" customHeight="1">
      <c r="B55" s="73" t="s">
        <v>660</v>
      </c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</row>
    <row r="56" spans="2:15" ht="15" customHeight="1">
      <c r="B56" s="72" t="s">
        <v>661</v>
      </c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</row>
    <row r="57" spans="2:15" ht="15.75" customHeight="1">
      <c r="B57" s="72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</row>
    <row r="58" spans="2:15" ht="15" customHeight="1">
      <c r="B58" s="71" t="s">
        <v>662</v>
      </c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</row>
    <row r="59" spans="2:15" ht="15" customHeight="1">
      <c r="B59" s="73" t="s">
        <v>663</v>
      </c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</row>
    <row r="60" spans="2:15" ht="15" customHeight="1">
      <c r="B60" s="73" t="s">
        <v>664</v>
      </c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</row>
    <row r="61" spans="2:15" ht="15" customHeight="1">
      <c r="B61" s="73" t="s">
        <v>665</v>
      </c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</row>
    <row r="62" spans="2:15" ht="15" customHeight="1">
      <c r="B62" s="73" t="s">
        <v>666</v>
      </c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</row>
    <row r="63" spans="2:15" ht="15.75" customHeight="1"/>
    <row r="64" spans="2:15" ht="15.75" customHeight="1"/>
    <row r="65" spans="2:9" ht="15.75" customHeight="1">
      <c r="B65" s="31" t="s">
        <v>667</v>
      </c>
    </row>
    <row r="66" spans="2:9" ht="15.75" customHeight="1">
      <c r="B66" s="81"/>
      <c r="C66" s="82"/>
      <c r="D66" s="83" t="s">
        <v>668</v>
      </c>
      <c r="E66" s="82"/>
      <c r="F66" s="83" t="s">
        <v>669</v>
      </c>
      <c r="G66" s="82"/>
      <c r="H66" s="83" t="s">
        <v>670</v>
      </c>
      <c r="I66" s="82"/>
    </row>
    <row r="67" spans="2:9" ht="15.75" customHeight="1">
      <c r="B67" s="79" t="s">
        <v>498</v>
      </c>
      <c r="C67" s="75"/>
      <c r="D67" s="76" t="s">
        <v>671</v>
      </c>
      <c r="E67" s="75"/>
      <c r="F67" s="77" t="s">
        <v>672</v>
      </c>
      <c r="G67" s="75"/>
      <c r="H67" s="78" t="s">
        <v>673</v>
      </c>
      <c r="I67" s="75"/>
    </row>
    <row r="68" spans="2:9" ht="15.75" customHeight="1">
      <c r="B68" s="74" t="s">
        <v>674</v>
      </c>
      <c r="C68" s="75"/>
      <c r="D68" s="76" t="s">
        <v>675</v>
      </c>
      <c r="E68" s="75"/>
      <c r="F68" s="77" t="s">
        <v>676</v>
      </c>
      <c r="G68" s="75"/>
      <c r="H68" s="78" t="s">
        <v>677</v>
      </c>
      <c r="I68" s="75"/>
    </row>
    <row r="69" spans="2:9" ht="15.75" customHeight="1">
      <c r="B69" s="74" t="s">
        <v>678</v>
      </c>
      <c r="C69" s="75"/>
      <c r="D69" s="76" t="s">
        <v>679</v>
      </c>
      <c r="E69" s="75"/>
      <c r="F69" s="77" t="s">
        <v>680</v>
      </c>
      <c r="G69" s="75"/>
      <c r="H69" s="78" t="s">
        <v>681</v>
      </c>
      <c r="I69" s="75"/>
    </row>
    <row r="70" spans="2:9" ht="15.75" customHeight="1">
      <c r="B70" s="79" t="s">
        <v>682</v>
      </c>
      <c r="C70" s="75"/>
      <c r="D70" s="76" t="s">
        <v>683</v>
      </c>
      <c r="E70" s="75"/>
      <c r="F70" s="77" t="s">
        <v>684</v>
      </c>
      <c r="G70" s="75"/>
      <c r="H70" s="78" t="s">
        <v>685</v>
      </c>
      <c r="I70" s="75"/>
    </row>
    <row r="71" spans="2:9" ht="15.75" customHeight="1">
      <c r="B71" s="79" t="s">
        <v>686</v>
      </c>
      <c r="C71" s="75"/>
      <c r="D71" s="76" t="s">
        <v>687</v>
      </c>
      <c r="E71" s="75"/>
      <c r="F71" s="77" t="s">
        <v>688</v>
      </c>
      <c r="G71" s="75"/>
      <c r="H71" s="78" t="s">
        <v>689</v>
      </c>
      <c r="I71" s="75"/>
    </row>
    <row r="72" spans="2:9" ht="15.75" customHeight="1">
      <c r="B72" s="79" t="s">
        <v>690</v>
      </c>
      <c r="C72" s="75"/>
      <c r="D72" s="76" t="s">
        <v>691</v>
      </c>
      <c r="E72" s="75"/>
      <c r="F72" s="77" t="s">
        <v>692</v>
      </c>
      <c r="G72" s="75"/>
      <c r="H72" s="78" t="s">
        <v>693</v>
      </c>
      <c r="I72" s="75"/>
    </row>
    <row r="73" spans="2:9" ht="15.75" customHeight="1">
      <c r="B73" s="79" t="s">
        <v>694</v>
      </c>
      <c r="C73" s="75"/>
      <c r="D73" s="76" t="s">
        <v>695</v>
      </c>
      <c r="E73" s="75"/>
      <c r="F73" s="77" t="s">
        <v>696</v>
      </c>
      <c r="G73" s="75"/>
      <c r="H73" s="78" t="s">
        <v>697</v>
      </c>
      <c r="I73" s="75"/>
    </row>
    <row r="74" spans="2:9" ht="15.75" customHeight="1">
      <c r="B74" s="79" t="s">
        <v>698</v>
      </c>
      <c r="C74" s="75"/>
      <c r="D74" s="76" t="s">
        <v>699</v>
      </c>
      <c r="E74" s="75"/>
      <c r="F74" s="77" t="s">
        <v>700</v>
      </c>
      <c r="G74" s="75"/>
      <c r="H74" s="84" t="s">
        <v>701</v>
      </c>
      <c r="I74" s="75"/>
    </row>
    <row r="75" spans="2:9" ht="15.75" customHeight="1"/>
    <row r="76" spans="2:9" ht="15.75" customHeight="1"/>
    <row r="77" spans="2:9" ht="15.75" customHeight="1"/>
    <row r="78" spans="2:9" ht="15.75" customHeight="1"/>
    <row r="79" spans="2:9" ht="15.75" customHeight="1"/>
    <row r="80" spans="2:9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0">
    <mergeCell ref="H70:I70"/>
    <mergeCell ref="F74:G74"/>
    <mergeCell ref="H74:I74"/>
    <mergeCell ref="B72:C72"/>
    <mergeCell ref="B73:C73"/>
    <mergeCell ref="D73:E73"/>
    <mergeCell ref="F73:G73"/>
    <mergeCell ref="H73:I73"/>
    <mergeCell ref="B74:C74"/>
    <mergeCell ref="D74:E74"/>
    <mergeCell ref="B67:C67"/>
    <mergeCell ref="D67:E67"/>
    <mergeCell ref="F67:G67"/>
    <mergeCell ref="H67:I67"/>
    <mergeCell ref="D68:E68"/>
    <mergeCell ref="F68:G68"/>
    <mergeCell ref="H68:I68"/>
    <mergeCell ref="B61:O61"/>
    <mergeCell ref="B62:O62"/>
    <mergeCell ref="B66:C66"/>
    <mergeCell ref="D66:E66"/>
    <mergeCell ref="F66:G66"/>
    <mergeCell ref="H66:I66"/>
    <mergeCell ref="B56:O56"/>
    <mergeCell ref="B57:O57"/>
    <mergeCell ref="B58:O58"/>
    <mergeCell ref="B59:O59"/>
    <mergeCell ref="B60:O60"/>
    <mergeCell ref="B51:O51"/>
    <mergeCell ref="B52:O52"/>
    <mergeCell ref="B53:O53"/>
    <mergeCell ref="B54:O54"/>
    <mergeCell ref="B55:O55"/>
    <mergeCell ref="H71:I71"/>
    <mergeCell ref="D72:E72"/>
    <mergeCell ref="F72:G72"/>
    <mergeCell ref="H72:I72"/>
    <mergeCell ref="A1:M1"/>
    <mergeCell ref="A2:M2"/>
    <mergeCell ref="B41:O41"/>
    <mergeCell ref="B42:O42"/>
    <mergeCell ref="B43:O43"/>
    <mergeCell ref="B44:O44"/>
    <mergeCell ref="B45:O45"/>
    <mergeCell ref="B46:O46"/>
    <mergeCell ref="B47:O47"/>
    <mergeCell ref="B48:O48"/>
    <mergeCell ref="B49:O49"/>
    <mergeCell ref="B50:O50"/>
    <mergeCell ref="B70:C70"/>
    <mergeCell ref="D70:E70"/>
    <mergeCell ref="B71:C71"/>
    <mergeCell ref="D71:E71"/>
    <mergeCell ref="F71:G71"/>
    <mergeCell ref="F70:G70"/>
    <mergeCell ref="B68:C68"/>
    <mergeCell ref="B69:C69"/>
    <mergeCell ref="D69:E69"/>
    <mergeCell ref="F69:G69"/>
    <mergeCell ref="H69:I69"/>
  </mergeCells>
  <phoneticPr fontId="51"/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調査業務リスト</vt:lpstr>
      <vt:lpstr>AI活用効果サマリー</vt:lpstr>
      <vt:lpstr>スケジュール</vt:lpstr>
      <vt:lpstr>最重要項目のみスコープ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根岸 光司</cp:lastModifiedBy>
  <dcterms:created xsi:type="dcterms:W3CDTF">2026-05-12T08:52:33Z</dcterms:created>
  <dcterms:modified xsi:type="dcterms:W3CDTF">2026-06-19T14:17:11Z</dcterms:modified>
</cp:coreProperties>
</file>