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調査業務リスト" sheetId="1" r:id="rId4"/>
    <sheet state="visible" name="AI活用効果サマリー" sheetId="2" r:id="rId5"/>
    <sheet state="visible" name="スケジュール" sheetId="3" r:id="rId6"/>
    <sheet state="visible" name="最重要項目のみスコープ" sheetId="4" r:id="rId7"/>
  </sheets>
  <definedNames/>
  <calcPr/>
  <extLst>
    <ext uri="GoogleSheetsCustomDataVersion2">
      <go:sheetsCustomData xmlns:go="http://customooxmlschemas.google.com/" r:id="rId8" roundtripDataChecksum="bBh8B0BbkXm3xze5PSAe6ehgt4LGktZuJm9mLt50A2A="/>
    </ext>
  </extLst>
</workbook>
</file>

<file path=xl/sharedStrings.xml><?xml version="1.0" encoding="utf-8"?>
<sst xmlns="http://schemas.openxmlformats.org/spreadsheetml/2006/main" count="906" uniqueCount="702">
  <si>
    <t>No.</t>
  </si>
  <si>
    <t>大項目</t>
  </si>
  <si>
    <t>中項目</t>
  </si>
  <si>
    <t>小項目</t>
  </si>
  <si>
    <t>調査ブロック</t>
  </si>
  <si>
    <r>
      <rPr>
        <rFont val="Noto Sans CJK SC"/>
        <b/>
        <color rgb="FFFFFFFF"/>
        <sz val="11.0"/>
      </rPr>
      <t>大細目</t>
    </r>
    <r>
      <rPr>
        <rFont val="Arial"/>
        <b/>
        <color rgb="FFFFFFFF"/>
        <sz val="11.0"/>
      </rPr>
      <t>(</t>
    </r>
    <r>
      <rPr>
        <rFont val="Noto Sans CJK SC"/>
        <b/>
        <color rgb="FFFFFFFF"/>
        <sz val="11.0"/>
      </rPr>
      <t>番号</t>
    </r>
    <r>
      <rPr>
        <rFont val="Arial"/>
        <b/>
        <color rgb="FFFFFFFF"/>
        <sz val="11.0"/>
      </rPr>
      <t>)</t>
    </r>
  </si>
  <si>
    <r>
      <rPr>
        <rFont val="Noto Sans CJK SC"/>
        <b/>
        <color rgb="FFFFFFFF"/>
        <sz val="11.0"/>
      </rPr>
      <t>大細目</t>
    </r>
    <r>
      <rPr>
        <rFont val="Arial"/>
        <b/>
        <color rgb="FFFFFFFF"/>
        <sz val="11.0"/>
      </rPr>
      <t>(</t>
    </r>
    <r>
      <rPr>
        <rFont val="Noto Sans CJK SC"/>
        <b/>
        <color rgb="FFFFFFFF"/>
        <sz val="11.0"/>
      </rPr>
      <t>内容</t>
    </r>
    <r>
      <rPr>
        <rFont val="Arial"/>
        <b/>
        <color rgb="FFFFFFFF"/>
        <sz val="11.0"/>
      </rPr>
      <t>)</t>
    </r>
  </si>
  <si>
    <r>
      <rPr>
        <rFont val="Noto Sans CJK SC"/>
        <b/>
        <color rgb="FFFFFFFF"/>
        <sz val="11.0"/>
      </rPr>
      <t>細目</t>
    </r>
    <r>
      <rPr>
        <rFont val="Arial"/>
        <b/>
        <color rgb="FFFFFFFF"/>
        <sz val="11.0"/>
      </rPr>
      <t>(</t>
    </r>
    <r>
      <rPr>
        <rFont val="Noto Sans CJK SC"/>
        <b/>
        <color rgb="FFFFFFFF"/>
        <sz val="11.0"/>
      </rPr>
      <t>記号</t>
    </r>
    <r>
      <rPr>
        <rFont val="Arial"/>
        <b/>
        <color rgb="FFFFFFFF"/>
        <sz val="11.0"/>
      </rPr>
      <t>)</t>
    </r>
  </si>
  <si>
    <t>細目内容</t>
  </si>
  <si>
    <t>調査手法</t>
  </si>
  <si>
    <r>
      <rPr>
        <rFont val="Noto Sans CJK SC"/>
        <b/>
        <color rgb="FFFFFFFF"/>
        <sz val="11.0"/>
      </rPr>
      <t>重要度</t>
    </r>
    <r>
      <rPr>
        <rFont val="Arial"/>
        <b/>
        <color rgb="FFFFFFFF"/>
        <sz val="11.0"/>
      </rPr>
      <t>(1-5)</t>
    </r>
  </si>
  <si>
    <r>
      <rPr>
        <rFont val="Arial"/>
        <b/>
        <color rgb="FFFFFFFF"/>
        <sz val="11.0"/>
      </rPr>
      <t>AI</t>
    </r>
    <r>
      <rPr>
        <rFont val="Noto Sans CJK SC"/>
        <b/>
        <color rgb="FFFFFFFF"/>
        <sz val="11.0"/>
      </rPr>
      <t>活用前
想定工数</t>
    </r>
    <r>
      <rPr>
        <rFont val="Arial"/>
        <b/>
        <color rgb="FFFFFFFF"/>
        <sz val="11.0"/>
      </rPr>
      <t>(</t>
    </r>
    <r>
      <rPr>
        <rFont val="Noto Sans CJK SC"/>
        <b/>
        <color rgb="FFFFFFFF"/>
        <sz val="11.0"/>
      </rPr>
      <t>人日</t>
    </r>
    <r>
      <rPr>
        <rFont val="Arial"/>
        <b/>
        <color rgb="FFFFFFFF"/>
        <sz val="11.0"/>
      </rPr>
      <t>)</t>
    </r>
  </si>
  <si>
    <r>
      <rPr>
        <rFont val="Arial"/>
        <b/>
        <color rgb="FFFFFFFF"/>
        <sz val="11.0"/>
      </rPr>
      <t>AI</t>
    </r>
    <r>
      <rPr>
        <rFont val="Noto Sans CJK SC"/>
        <b/>
        <color rgb="FFFFFFFF"/>
        <sz val="11.0"/>
      </rPr>
      <t>削減率</t>
    </r>
    <r>
      <rPr>
        <rFont val="Arial"/>
        <b/>
        <color rgb="FFFFFFFF"/>
        <sz val="11.0"/>
      </rPr>
      <t>(%)</t>
    </r>
  </si>
  <si>
    <r>
      <rPr>
        <rFont val="Arial"/>
        <b/>
        <color rgb="FFFFFFFF"/>
        <sz val="11.0"/>
      </rPr>
      <t>AI</t>
    </r>
    <r>
      <rPr>
        <rFont val="Noto Sans CJK SC"/>
        <b/>
        <color rgb="FFFFFFFF"/>
        <sz val="11.0"/>
      </rPr>
      <t>活用ツール・手法</t>
    </r>
  </si>
  <si>
    <r>
      <rPr>
        <rFont val="Arial"/>
        <b/>
        <color rgb="FFFFFFFF"/>
        <sz val="11.0"/>
      </rPr>
      <t>AI</t>
    </r>
    <r>
      <rPr>
        <rFont val="Noto Sans CJK SC"/>
        <b/>
        <color rgb="FFFFFFFF"/>
        <sz val="11.0"/>
      </rPr>
      <t>活用後
工数</t>
    </r>
    <r>
      <rPr>
        <rFont val="Arial"/>
        <b/>
        <color rgb="FFFFFFFF"/>
        <sz val="11.0"/>
      </rPr>
      <t>(</t>
    </r>
    <r>
      <rPr>
        <rFont val="Noto Sans CJK SC"/>
        <b/>
        <color rgb="FFFFFFFF"/>
        <sz val="11.0"/>
      </rPr>
      <t>人日</t>
    </r>
    <r>
      <rPr>
        <rFont val="Arial"/>
        <b/>
        <color rgb="FFFFFFFF"/>
        <sz val="11.0"/>
      </rPr>
      <t>)</t>
    </r>
  </si>
  <si>
    <t>開始予定</t>
  </si>
  <si>
    <t>完了予定</t>
  </si>
  <si>
    <r>
      <rPr>
        <rFont val="Noto Sans CJK SC"/>
        <b/>
        <color rgb="FFFFFFFF"/>
        <sz val="11.0"/>
      </rPr>
      <t xml:space="preserve">人件費単価
</t>
    </r>
    <r>
      <rPr>
        <rFont val="Arial"/>
        <b/>
        <color rgb="FFFFFFFF"/>
        <sz val="11.0"/>
      </rPr>
      <t>(</t>
    </r>
    <r>
      <rPr>
        <rFont val="Noto Sans CJK SC"/>
        <b/>
        <color rgb="FFFFFFFF"/>
        <sz val="11.0"/>
      </rPr>
      <t>円</t>
    </r>
    <r>
      <rPr>
        <rFont val="Arial"/>
        <b/>
        <color rgb="FFFFFFFF"/>
        <sz val="11.0"/>
      </rPr>
      <t>/</t>
    </r>
    <r>
      <rPr>
        <rFont val="Noto Sans CJK SC"/>
        <b/>
        <color rgb="FFFFFFFF"/>
        <sz val="11.0"/>
      </rPr>
      <t>人日</t>
    </r>
    <r>
      <rPr>
        <rFont val="Arial"/>
        <b/>
        <color rgb="FFFFFFFF"/>
        <sz val="11.0"/>
      </rPr>
      <t>)</t>
    </r>
  </si>
  <si>
    <r>
      <rPr>
        <rFont val="Noto Sans CJK SC"/>
        <b/>
        <color rgb="FFFFFFFF"/>
        <sz val="11.0"/>
      </rPr>
      <t>人件費</t>
    </r>
    <r>
      <rPr>
        <rFont val="Arial"/>
        <b/>
        <color rgb="FFFFFFFF"/>
        <sz val="11.0"/>
      </rPr>
      <t>(</t>
    </r>
    <r>
      <rPr>
        <rFont val="Noto Sans CJK SC"/>
        <b/>
        <color rgb="FFFFFFFF"/>
        <sz val="11.0"/>
      </rPr>
      <t>円</t>
    </r>
    <r>
      <rPr>
        <rFont val="Arial"/>
        <b/>
        <color rgb="FFFFFFFF"/>
        <sz val="11.0"/>
      </rPr>
      <t>)</t>
    </r>
  </si>
  <si>
    <r>
      <rPr>
        <rFont val="Noto Sans CJK SC"/>
        <b/>
        <color rgb="FFFFFFFF"/>
        <sz val="11.0"/>
      </rPr>
      <t>その他コスト</t>
    </r>
    <r>
      <rPr>
        <rFont val="Arial"/>
        <b/>
        <color rgb="FFFFFFFF"/>
        <sz val="11.0"/>
      </rPr>
      <t>(</t>
    </r>
    <r>
      <rPr>
        <rFont val="Noto Sans CJK SC"/>
        <b/>
        <color rgb="FFFFFFFF"/>
        <sz val="11.0"/>
      </rPr>
      <t>円</t>
    </r>
    <r>
      <rPr>
        <rFont val="Arial"/>
        <b/>
        <color rgb="FFFFFFFF"/>
        <sz val="11.0"/>
      </rPr>
      <t>)</t>
    </r>
  </si>
  <si>
    <t>コスト内訳</t>
  </si>
  <si>
    <r>
      <rPr>
        <rFont val="Noto Sans CJK SC"/>
        <b/>
        <color rgb="FFFFFFFF"/>
        <sz val="11.0"/>
      </rPr>
      <t>実際にかかる費用</t>
    </r>
    <r>
      <rPr>
        <rFont val="Arial"/>
        <b/>
        <color rgb="FFFFFFFF"/>
        <sz val="11.0"/>
      </rPr>
      <t>(</t>
    </r>
    <r>
      <rPr>
        <rFont val="Noto Sans CJK SC"/>
        <b/>
        <color rgb="FFFFFFFF"/>
        <sz val="11.0"/>
      </rPr>
      <t>円</t>
    </r>
    <r>
      <rPr>
        <rFont val="Arial"/>
        <b/>
        <color rgb="FFFFFFFF"/>
        <sz val="11.0"/>
      </rPr>
      <t>)</t>
    </r>
  </si>
  <si>
    <t>備考・前提</t>
  </si>
  <si>
    <t>Research / analysis</t>
  </si>
  <si>
    <t>Report Progress</t>
  </si>
  <si>
    <t>Done</t>
  </si>
  <si>
    <r>
      <rPr>
        <rFont val="Arial"/>
        <color theme="1"/>
        <sz val="11.0"/>
      </rPr>
      <t xml:space="preserve">1. </t>
    </r>
    <r>
      <rPr>
        <rFont val="Noto Sans CJK SC"/>
        <color theme="1"/>
        <sz val="11.0"/>
      </rPr>
      <t>木材の長期間利用による炭素貯蔵効果の評価手法の検討</t>
    </r>
  </si>
  <si>
    <r>
      <rPr>
        <rFont val="Arial"/>
        <color theme="1"/>
        <sz val="11.0"/>
      </rPr>
      <t xml:space="preserve">(1) </t>
    </r>
    <r>
      <rPr>
        <rFont val="Noto Sans CJK SC"/>
        <color theme="1"/>
        <sz val="11.0"/>
      </rPr>
      <t>フランスのダイナミック</t>
    </r>
    <r>
      <rPr>
        <rFont val="Arial"/>
        <color theme="1"/>
        <sz val="11.0"/>
      </rPr>
      <t>LCA</t>
    </r>
    <r>
      <rPr>
        <rFont val="Noto Sans CJK SC"/>
        <color theme="1"/>
        <sz val="11.0"/>
      </rPr>
      <t>を含む海外での制度事例や検討内容の収集・分析</t>
    </r>
  </si>
  <si>
    <r>
      <rPr>
        <rFont val="Noto Sans CJK SC"/>
        <color theme="1"/>
        <sz val="11.0"/>
      </rPr>
      <t>① フランス</t>
    </r>
    <r>
      <rPr>
        <rFont val="Arial"/>
        <color theme="1"/>
        <sz val="11.0"/>
      </rPr>
      <t>RE2020</t>
    </r>
    <r>
      <rPr>
        <rFont val="Noto Sans CJK SC"/>
        <color theme="1"/>
        <sz val="11.0"/>
      </rPr>
      <t>におけるダイナミック</t>
    </r>
    <r>
      <rPr>
        <rFont val="Arial"/>
        <color theme="1"/>
        <sz val="11.0"/>
      </rPr>
      <t>LCA</t>
    </r>
    <r>
      <rPr>
        <rFont val="Noto Sans CJK SC"/>
        <color theme="1"/>
        <sz val="11.0"/>
      </rPr>
      <t>関連情報の収集・分析</t>
    </r>
  </si>
  <si>
    <r>
      <rPr>
        <rFont val="Arial"/>
        <b/>
        <color theme="1"/>
        <sz val="11.0"/>
      </rPr>
      <t xml:space="preserve">(1) </t>
    </r>
    <r>
      <rPr>
        <rFont val="Noto Sans CJK SC"/>
        <b/>
        <color theme="1"/>
        <sz val="11.0"/>
      </rPr>
      <t>政策及び制度調査</t>
    </r>
  </si>
  <si>
    <t>①</t>
  </si>
  <si>
    <r>
      <rPr>
        <rFont val="Noto Sans CJK SC"/>
        <color theme="1"/>
        <sz val="11.0"/>
      </rPr>
      <t>建築環境性能評価制度（建築物</t>
    </r>
    <r>
      <rPr>
        <rFont val="Arial"/>
        <color theme="1"/>
        <sz val="11.0"/>
      </rPr>
      <t>LCA</t>
    </r>
    <r>
      <rPr>
        <rFont val="Noto Sans CJK SC"/>
        <color theme="1"/>
        <sz val="11.0"/>
      </rPr>
      <t>）の全体構造</t>
    </r>
  </si>
  <si>
    <t>ア</t>
  </si>
  <si>
    <r>
      <rPr>
        <rFont val="Arial"/>
        <color theme="1"/>
        <sz val="11.0"/>
      </rPr>
      <t>RE2020</t>
    </r>
    <r>
      <rPr>
        <rFont val="Noto Sans CJK SC"/>
        <color theme="1"/>
        <sz val="11.0"/>
      </rPr>
      <t>における建築物</t>
    </r>
    <r>
      <rPr>
        <rFont val="Arial"/>
        <color theme="1"/>
        <sz val="11.0"/>
      </rPr>
      <t>LCA</t>
    </r>
    <r>
      <rPr>
        <rFont val="Noto Sans CJK SC"/>
        <color theme="1"/>
        <sz val="11.0"/>
      </rPr>
      <t>の位置付け</t>
    </r>
  </si>
  <si>
    <t>文献・政策資料調査</t>
  </si>
  <si>
    <r>
      <rPr>
        <rFont val="Arial"/>
        <color theme="1"/>
        <sz val="9.0"/>
      </rPr>
      <t>Claude/ChatGPT</t>
    </r>
    <r>
      <rPr>
        <rFont val="Noto Sans CJK SC"/>
        <color theme="1"/>
        <sz val="9.0"/>
      </rPr>
      <t>でフランス語文献の翻訳・要約・論点抽出を一次処理、</t>
    </r>
    <r>
      <rPr>
        <rFont val="Arial"/>
        <color theme="1"/>
        <sz val="9.0"/>
      </rPr>
      <t>DeepL</t>
    </r>
    <r>
      <rPr>
        <rFont val="Noto Sans CJK SC"/>
        <color theme="1"/>
        <sz val="9.0"/>
      </rPr>
      <t>で補助翻訳、人間が検証</t>
    </r>
  </si>
  <si>
    <r>
      <rPr>
        <rFont val="Arial"/>
        <color theme="1"/>
        <sz val="11.0"/>
      </rPr>
      <t>2026</t>
    </r>
    <r>
      <rPr>
        <rFont val="Noto Sans CJK SC"/>
        <color theme="1"/>
        <sz val="11.0"/>
      </rPr>
      <t>年</t>
    </r>
    <r>
      <rPr>
        <rFont val="Arial"/>
        <color theme="1"/>
        <sz val="11.0"/>
      </rPr>
      <t>5</t>
    </r>
    <r>
      <rPr>
        <rFont val="Noto Sans CJK SC"/>
        <color theme="1"/>
        <sz val="11.0"/>
      </rPr>
      <t>月上旬</t>
    </r>
  </si>
  <si>
    <r>
      <rPr>
        <rFont val="Arial"/>
        <color theme="1"/>
        <sz val="11.0"/>
      </rPr>
      <t>2026</t>
    </r>
    <r>
      <rPr>
        <rFont val="Noto Sans CJK SC"/>
        <color theme="1"/>
        <sz val="11.0"/>
      </rPr>
      <t>年</t>
    </r>
    <r>
      <rPr>
        <rFont val="Arial"/>
        <color theme="1"/>
        <sz val="11.0"/>
      </rPr>
      <t>6</t>
    </r>
    <r>
      <rPr>
        <rFont val="Noto Sans CJK SC"/>
        <color theme="1"/>
        <sz val="11.0"/>
      </rPr>
      <t>月初旬</t>
    </r>
  </si>
  <si>
    <r>
      <rPr>
        <rFont val="Noto Sans CJK SC"/>
        <i/>
        <color rgb="FF595959"/>
        <sz val="9.0"/>
      </rPr>
      <t>★優先群</t>
    </r>
    <r>
      <rPr>
        <rFont val="Arial"/>
        <i/>
        <color rgb="FF595959"/>
        <sz val="9.0"/>
      </rPr>
      <t xml:space="preserve">: </t>
    </r>
    <r>
      <rPr>
        <rFont val="Noto Sans CJK SC"/>
        <i/>
        <color rgb="FF595959"/>
        <sz val="9.0"/>
      </rPr>
      <t>制度化背景・基礎ガイダンス</t>
    </r>
  </si>
  <si>
    <r>
      <rPr>
        <rFont val="Arial"/>
        <color theme="1"/>
        <sz val="11.0"/>
      </rPr>
      <t xml:space="preserve">1. </t>
    </r>
    <r>
      <rPr>
        <rFont val="Noto Sans CJK SC"/>
        <color theme="1"/>
        <sz val="11.0"/>
      </rPr>
      <t>木材の長期間利用による炭素貯蔵効果の評価手法の検討</t>
    </r>
  </si>
  <si>
    <r>
      <rPr>
        <rFont val="Arial"/>
        <color theme="1"/>
        <sz val="11.0"/>
      </rPr>
      <t xml:space="preserve">(1) </t>
    </r>
    <r>
      <rPr>
        <rFont val="Noto Sans CJK SC"/>
        <color theme="1"/>
        <sz val="11.0"/>
      </rPr>
      <t>フランスのダイナミック</t>
    </r>
    <r>
      <rPr>
        <rFont val="Arial"/>
        <color theme="1"/>
        <sz val="11.0"/>
      </rPr>
      <t>LCA</t>
    </r>
    <r>
      <rPr>
        <rFont val="Noto Sans CJK SC"/>
        <color theme="1"/>
        <sz val="11.0"/>
      </rPr>
      <t>を含む海外での制度事例や検討内容の収集・分析</t>
    </r>
  </si>
  <si>
    <r>
      <rPr>
        <rFont val="Noto Sans CJK SC"/>
        <color theme="1"/>
        <sz val="11.0"/>
      </rPr>
      <t>① フランス</t>
    </r>
    <r>
      <rPr>
        <rFont val="Arial"/>
        <color theme="1"/>
        <sz val="11.0"/>
      </rPr>
      <t>RE2020</t>
    </r>
    <r>
      <rPr>
        <rFont val="Noto Sans CJK SC"/>
        <color theme="1"/>
        <sz val="11.0"/>
      </rPr>
      <t>におけるダイナミック</t>
    </r>
    <r>
      <rPr>
        <rFont val="Arial"/>
        <color theme="1"/>
        <sz val="11.0"/>
      </rPr>
      <t>LCA</t>
    </r>
    <r>
      <rPr>
        <rFont val="Noto Sans CJK SC"/>
        <color theme="1"/>
        <sz val="11.0"/>
      </rPr>
      <t>関連情報の収集・分析</t>
    </r>
  </si>
  <si>
    <r>
      <rPr>
        <rFont val="Arial"/>
        <b/>
        <color theme="1"/>
        <sz val="11.0"/>
      </rPr>
      <t xml:space="preserve">(1) </t>
    </r>
    <r>
      <rPr>
        <rFont val="Noto Sans CJK SC"/>
        <b/>
        <color theme="1"/>
        <sz val="11.0"/>
      </rPr>
      <t>政策及び制度調査</t>
    </r>
  </si>
  <si>
    <r>
      <rPr>
        <rFont val="Noto Sans CJK SC"/>
        <color theme="1"/>
        <sz val="11.0"/>
      </rPr>
      <t>建築環境性能評価制度（建築物</t>
    </r>
    <r>
      <rPr>
        <rFont val="Arial"/>
        <color theme="1"/>
        <sz val="11.0"/>
      </rPr>
      <t>LCA</t>
    </r>
    <r>
      <rPr>
        <rFont val="Noto Sans CJK SC"/>
        <color theme="1"/>
        <sz val="11.0"/>
      </rPr>
      <t>）の全体構造</t>
    </r>
  </si>
  <si>
    <t>イ</t>
  </si>
  <si>
    <t>環境性能評価方法（非住宅・住宅、新築・既築住宅等）</t>
  </si>
  <si>
    <r>
      <rPr>
        <rFont val="Arial"/>
        <color theme="1"/>
        <sz val="9.0"/>
      </rPr>
      <t>Claude/ChatGPT</t>
    </r>
    <r>
      <rPr>
        <rFont val="Noto Sans CJK SC"/>
        <color theme="1"/>
        <sz val="9.0"/>
      </rPr>
      <t>でフランス語文献の翻訳・要約・論点抽出を一次処理、</t>
    </r>
    <r>
      <rPr>
        <rFont val="Arial"/>
        <color theme="1"/>
        <sz val="9.0"/>
      </rPr>
      <t>DeepL</t>
    </r>
    <r>
      <rPr>
        <rFont val="Noto Sans CJK SC"/>
        <color theme="1"/>
        <sz val="9.0"/>
      </rPr>
      <t>で補助翻訳、人間が検証</t>
    </r>
  </si>
  <si>
    <r>
      <rPr>
        <rFont val="Arial"/>
        <color theme="1"/>
        <sz val="11.0"/>
      </rPr>
      <t>2026</t>
    </r>
    <r>
      <rPr>
        <rFont val="Noto Sans CJK SC"/>
        <color theme="1"/>
        <sz val="11.0"/>
      </rPr>
      <t>年</t>
    </r>
    <r>
      <rPr>
        <rFont val="Arial"/>
        <color theme="1"/>
        <sz val="11.0"/>
      </rPr>
      <t>5</t>
    </r>
    <r>
      <rPr>
        <rFont val="Noto Sans CJK SC"/>
        <color theme="1"/>
        <sz val="11.0"/>
      </rPr>
      <t>月上旬</t>
    </r>
  </si>
  <si>
    <r>
      <rPr>
        <rFont val="Arial"/>
        <color theme="1"/>
        <sz val="11.0"/>
      </rPr>
      <t>2026</t>
    </r>
    <r>
      <rPr>
        <rFont val="Noto Sans CJK SC"/>
        <color theme="1"/>
        <sz val="11.0"/>
      </rPr>
      <t>年</t>
    </r>
    <r>
      <rPr>
        <rFont val="Arial"/>
        <color theme="1"/>
        <sz val="11.0"/>
      </rPr>
      <t>6</t>
    </r>
    <r>
      <rPr>
        <rFont val="Noto Sans CJK SC"/>
        <color theme="1"/>
        <sz val="11.0"/>
      </rPr>
      <t>月初旬</t>
    </r>
  </si>
  <si>
    <r>
      <rPr>
        <rFont val="Noto Sans CJK SC"/>
        <i/>
        <color rgb="FF595959"/>
        <sz val="9.0"/>
      </rPr>
      <t>★優先群</t>
    </r>
    <r>
      <rPr>
        <rFont val="Arial"/>
        <i/>
        <color rgb="FF595959"/>
        <sz val="9.0"/>
      </rPr>
      <t xml:space="preserve">: </t>
    </r>
    <r>
      <rPr>
        <rFont val="Noto Sans CJK SC"/>
        <i/>
        <color rgb="FF595959"/>
        <sz val="9.0"/>
      </rPr>
      <t>制度化背景・基礎ガイダンス</t>
    </r>
  </si>
  <si>
    <r>
      <rPr>
        <rFont val="Arial"/>
        <color theme="1"/>
        <sz val="11.0"/>
      </rPr>
      <t xml:space="preserve">1. </t>
    </r>
    <r>
      <rPr>
        <rFont val="Noto Sans CJK SC"/>
        <color theme="1"/>
        <sz val="11.0"/>
      </rPr>
      <t>木材の長期間利用による炭素貯蔵効果の評価手法の検討</t>
    </r>
  </si>
  <si>
    <r>
      <rPr>
        <rFont val="Arial"/>
        <color theme="1"/>
        <sz val="11.0"/>
      </rPr>
      <t xml:space="preserve">(1) </t>
    </r>
    <r>
      <rPr>
        <rFont val="Noto Sans CJK SC"/>
        <color theme="1"/>
        <sz val="11.0"/>
      </rPr>
      <t>フランスのダイナミック</t>
    </r>
    <r>
      <rPr>
        <rFont val="Arial"/>
        <color theme="1"/>
        <sz val="11.0"/>
      </rPr>
      <t>LCA</t>
    </r>
    <r>
      <rPr>
        <rFont val="Noto Sans CJK SC"/>
        <color theme="1"/>
        <sz val="11.0"/>
      </rPr>
      <t>を含む海外での制度事例や検討内容の収集・分析</t>
    </r>
  </si>
  <si>
    <r>
      <rPr>
        <rFont val="Noto Sans CJK SC"/>
        <color theme="1"/>
        <sz val="11.0"/>
      </rPr>
      <t>① フランス</t>
    </r>
    <r>
      <rPr>
        <rFont val="Arial"/>
        <color theme="1"/>
        <sz val="11.0"/>
      </rPr>
      <t>RE2020</t>
    </r>
    <r>
      <rPr>
        <rFont val="Noto Sans CJK SC"/>
        <color theme="1"/>
        <sz val="11.0"/>
      </rPr>
      <t>におけるダイナミック</t>
    </r>
    <r>
      <rPr>
        <rFont val="Arial"/>
        <color theme="1"/>
        <sz val="11.0"/>
      </rPr>
      <t>LCA</t>
    </r>
    <r>
      <rPr>
        <rFont val="Noto Sans CJK SC"/>
        <color theme="1"/>
        <sz val="11.0"/>
      </rPr>
      <t>関連情報の収集・分析</t>
    </r>
  </si>
  <si>
    <r>
      <rPr>
        <rFont val="Arial"/>
        <b/>
        <color theme="1"/>
        <sz val="11.0"/>
      </rPr>
      <t xml:space="preserve">(1) </t>
    </r>
    <r>
      <rPr>
        <rFont val="Noto Sans CJK SC"/>
        <b/>
        <color theme="1"/>
        <sz val="11.0"/>
      </rPr>
      <t>政策及び制度調査</t>
    </r>
  </si>
  <si>
    <r>
      <rPr>
        <rFont val="Noto Sans CJK SC"/>
        <color theme="1"/>
        <sz val="11.0"/>
      </rPr>
      <t>建築環境性能評価制度（建築物</t>
    </r>
    <r>
      <rPr>
        <rFont val="Arial"/>
        <color theme="1"/>
        <sz val="11.0"/>
      </rPr>
      <t>LCA</t>
    </r>
    <r>
      <rPr>
        <rFont val="Noto Sans CJK SC"/>
        <color theme="1"/>
        <sz val="11.0"/>
      </rPr>
      <t>）の全体構造</t>
    </r>
  </si>
  <si>
    <t>ウ</t>
  </si>
  <si>
    <r>
      <rPr>
        <rFont val="Arial"/>
        <color theme="1"/>
        <sz val="11.0"/>
      </rPr>
      <t>Level(s)</t>
    </r>
    <r>
      <rPr>
        <rFont val="Noto Sans CJK SC"/>
        <color theme="1"/>
        <sz val="11.0"/>
      </rPr>
      <t>及び</t>
    </r>
    <r>
      <rPr>
        <rFont val="Arial"/>
        <color theme="1"/>
        <sz val="11.0"/>
      </rPr>
      <t>EN15978</t>
    </r>
    <r>
      <rPr>
        <rFont val="Noto Sans CJK SC"/>
        <color theme="1"/>
        <sz val="11.0"/>
      </rPr>
      <t>（建築物の環境性能評価方法）との関係性</t>
    </r>
  </si>
  <si>
    <r>
      <rPr>
        <rFont val="Arial"/>
        <color theme="1"/>
        <sz val="9.0"/>
      </rPr>
      <t>Claude/ChatGPT</t>
    </r>
    <r>
      <rPr>
        <rFont val="Noto Sans CJK SC"/>
        <color theme="1"/>
        <sz val="9.0"/>
      </rPr>
      <t>でフランス語文献の翻訳・要約・論点抽出を一次処理、</t>
    </r>
    <r>
      <rPr>
        <rFont val="Arial"/>
        <color theme="1"/>
        <sz val="9.0"/>
      </rPr>
      <t>DeepL</t>
    </r>
    <r>
      <rPr>
        <rFont val="Noto Sans CJK SC"/>
        <color theme="1"/>
        <sz val="9.0"/>
      </rPr>
      <t>で補助翻訳、人間が検証</t>
    </r>
  </si>
  <si>
    <r>
      <rPr>
        <rFont val="Arial"/>
        <color theme="1"/>
        <sz val="11.0"/>
      </rPr>
      <t>2026</t>
    </r>
    <r>
      <rPr>
        <rFont val="Noto Sans CJK SC"/>
        <color theme="1"/>
        <sz val="11.0"/>
      </rPr>
      <t>年</t>
    </r>
    <r>
      <rPr>
        <rFont val="Arial"/>
        <color theme="1"/>
        <sz val="11.0"/>
      </rPr>
      <t>5</t>
    </r>
    <r>
      <rPr>
        <rFont val="Noto Sans CJK SC"/>
        <color theme="1"/>
        <sz val="11.0"/>
      </rPr>
      <t>月上旬</t>
    </r>
  </si>
  <si>
    <r>
      <rPr>
        <rFont val="Arial"/>
        <color theme="1"/>
        <sz val="11.0"/>
      </rPr>
      <t>2026</t>
    </r>
    <r>
      <rPr>
        <rFont val="Noto Sans CJK SC"/>
        <color theme="1"/>
        <sz val="11.0"/>
      </rPr>
      <t>年</t>
    </r>
    <r>
      <rPr>
        <rFont val="Arial"/>
        <color theme="1"/>
        <sz val="11.0"/>
      </rPr>
      <t>6</t>
    </r>
    <r>
      <rPr>
        <rFont val="Noto Sans CJK SC"/>
        <color theme="1"/>
        <sz val="11.0"/>
      </rPr>
      <t>月初旬</t>
    </r>
  </si>
  <si>
    <r>
      <rPr>
        <rFont val="Noto Sans CJK SC"/>
        <i/>
        <color rgb="FF595959"/>
        <sz val="9.0"/>
      </rPr>
      <t>★優先群</t>
    </r>
    <r>
      <rPr>
        <rFont val="Arial"/>
        <i/>
        <color rgb="FF595959"/>
        <sz val="9.0"/>
      </rPr>
      <t xml:space="preserve">: </t>
    </r>
    <r>
      <rPr>
        <rFont val="Noto Sans CJK SC"/>
        <i/>
        <color rgb="FF595959"/>
        <sz val="9.0"/>
      </rPr>
      <t>制度化背景・基礎ガイダンス</t>
    </r>
  </si>
  <si>
    <r>
      <rPr>
        <rFont val="Arial"/>
        <color theme="1"/>
        <sz val="11.0"/>
      </rPr>
      <t xml:space="preserve">1. </t>
    </r>
    <r>
      <rPr>
        <rFont val="Noto Sans CJK SC"/>
        <color theme="1"/>
        <sz val="11.0"/>
      </rPr>
      <t>木材の長期間利用による炭素貯蔵効果の評価手法の検討</t>
    </r>
  </si>
  <si>
    <r>
      <rPr>
        <rFont val="Arial"/>
        <color theme="1"/>
        <sz val="11.0"/>
      </rPr>
      <t xml:space="preserve">(1) </t>
    </r>
    <r>
      <rPr>
        <rFont val="Noto Sans CJK SC"/>
        <color theme="1"/>
        <sz val="11.0"/>
      </rPr>
      <t>フランスのダイナミック</t>
    </r>
    <r>
      <rPr>
        <rFont val="Arial"/>
        <color theme="1"/>
        <sz val="11.0"/>
      </rPr>
      <t>LCA</t>
    </r>
    <r>
      <rPr>
        <rFont val="Noto Sans CJK SC"/>
        <color theme="1"/>
        <sz val="11.0"/>
      </rPr>
      <t>を含む海外での制度事例や検討内容の収集・分析</t>
    </r>
  </si>
  <si>
    <r>
      <rPr>
        <rFont val="Noto Sans CJK SC"/>
        <color theme="1"/>
        <sz val="11.0"/>
      </rPr>
      <t>① フランス</t>
    </r>
    <r>
      <rPr>
        <rFont val="Arial"/>
        <color theme="1"/>
        <sz val="11.0"/>
      </rPr>
      <t>RE2020</t>
    </r>
    <r>
      <rPr>
        <rFont val="Noto Sans CJK SC"/>
        <color theme="1"/>
        <sz val="11.0"/>
      </rPr>
      <t>におけるダイナミック</t>
    </r>
    <r>
      <rPr>
        <rFont val="Arial"/>
        <color theme="1"/>
        <sz val="11.0"/>
      </rPr>
      <t>LCA</t>
    </r>
    <r>
      <rPr>
        <rFont val="Noto Sans CJK SC"/>
        <color theme="1"/>
        <sz val="11.0"/>
      </rPr>
      <t>関連情報の収集・分析</t>
    </r>
  </si>
  <si>
    <r>
      <rPr>
        <rFont val="Arial"/>
        <b/>
        <color theme="1"/>
        <sz val="11.0"/>
      </rPr>
      <t xml:space="preserve">(1) </t>
    </r>
    <r>
      <rPr>
        <rFont val="Noto Sans CJK SC"/>
        <b/>
        <color theme="1"/>
        <sz val="11.0"/>
      </rPr>
      <t>政策及び制度調査</t>
    </r>
  </si>
  <si>
    <t>④</t>
  </si>
  <si>
    <t>制度導入の背景および検討プロセスの整理</t>
  </si>
  <si>
    <t>初期検討から導入に至った経緯</t>
  </si>
  <si>
    <r>
      <rPr>
        <rFont val="Arial"/>
        <color theme="1"/>
        <sz val="9.0"/>
      </rPr>
      <t>Claude/ChatGPT</t>
    </r>
    <r>
      <rPr>
        <rFont val="Noto Sans CJK SC"/>
        <color theme="1"/>
        <sz val="9.0"/>
      </rPr>
      <t>でフランス語文献の翻訳・要約・論点抽出を一次処理、</t>
    </r>
    <r>
      <rPr>
        <rFont val="Arial"/>
        <color theme="1"/>
        <sz val="9.0"/>
      </rPr>
      <t>DeepL</t>
    </r>
    <r>
      <rPr>
        <rFont val="Noto Sans CJK SC"/>
        <color theme="1"/>
        <sz val="9.0"/>
      </rPr>
      <t>で補助翻訳、人間が検証</t>
    </r>
  </si>
  <si>
    <r>
      <rPr>
        <rFont val="Arial"/>
        <color theme="1"/>
        <sz val="11.0"/>
      </rPr>
      <t>2026</t>
    </r>
    <r>
      <rPr>
        <rFont val="Noto Sans CJK SC"/>
        <color theme="1"/>
        <sz val="11.0"/>
      </rPr>
      <t>年</t>
    </r>
    <r>
      <rPr>
        <rFont val="Arial"/>
        <color theme="1"/>
        <sz val="11.0"/>
      </rPr>
      <t>5</t>
    </r>
    <r>
      <rPr>
        <rFont val="Noto Sans CJK SC"/>
        <color theme="1"/>
        <sz val="11.0"/>
      </rPr>
      <t>月上旬</t>
    </r>
  </si>
  <si>
    <r>
      <rPr>
        <rFont val="Arial"/>
        <color theme="1"/>
        <sz val="11.0"/>
      </rPr>
      <t>2026</t>
    </r>
    <r>
      <rPr>
        <rFont val="Noto Sans CJK SC"/>
        <color theme="1"/>
        <sz val="11.0"/>
      </rPr>
      <t>年</t>
    </r>
    <r>
      <rPr>
        <rFont val="Arial"/>
        <color theme="1"/>
        <sz val="11.0"/>
      </rPr>
      <t>6</t>
    </r>
    <r>
      <rPr>
        <rFont val="Noto Sans CJK SC"/>
        <color theme="1"/>
        <sz val="11.0"/>
      </rPr>
      <t>月初旬</t>
    </r>
  </si>
  <si>
    <r>
      <rPr>
        <rFont val="Noto Sans CJK SC"/>
        <i/>
        <color rgb="FF595959"/>
        <sz val="9.0"/>
      </rPr>
      <t>★優先群</t>
    </r>
    <r>
      <rPr>
        <rFont val="Arial"/>
        <i/>
        <color rgb="FF595959"/>
        <sz val="9.0"/>
      </rPr>
      <t xml:space="preserve">: </t>
    </r>
    <r>
      <rPr>
        <rFont val="Noto Sans CJK SC"/>
        <i/>
        <color rgb="FF595959"/>
        <sz val="9.0"/>
      </rPr>
      <t>制度化背景</t>
    </r>
  </si>
  <si>
    <r>
      <rPr>
        <rFont val="Arial"/>
        <color theme="1"/>
        <sz val="11.0"/>
      </rPr>
      <t xml:space="preserve">1. </t>
    </r>
    <r>
      <rPr>
        <rFont val="Noto Sans CJK SC"/>
        <color theme="1"/>
        <sz val="11.0"/>
      </rPr>
      <t>木材の長期間利用による炭素貯蔵効果の評価手法の検討</t>
    </r>
  </si>
  <si>
    <r>
      <rPr>
        <rFont val="Arial"/>
        <color theme="1"/>
        <sz val="11.0"/>
      </rPr>
      <t xml:space="preserve">(1) </t>
    </r>
    <r>
      <rPr>
        <rFont val="Noto Sans CJK SC"/>
        <color theme="1"/>
        <sz val="11.0"/>
      </rPr>
      <t>フランスのダイナミック</t>
    </r>
    <r>
      <rPr>
        <rFont val="Arial"/>
        <color theme="1"/>
        <sz val="11.0"/>
      </rPr>
      <t>LCA</t>
    </r>
    <r>
      <rPr>
        <rFont val="Noto Sans CJK SC"/>
        <color theme="1"/>
        <sz val="11.0"/>
      </rPr>
      <t>を含む海外での制度事例や検討内容の収集・分析</t>
    </r>
  </si>
  <si>
    <r>
      <rPr>
        <rFont val="Noto Sans CJK SC"/>
        <color theme="1"/>
        <sz val="11.0"/>
      </rPr>
      <t>① フランス</t>
    </r>
    <r>
      <rPr>
        <rFont val="Arial"/>
        <color theme="1"/>
        <sz val="11.0"/>
      </rPr>
      <t>RE2020</t>
    </r>
    <r>
      <rPr>
        <rFont val="Noto Sans CJK SC"/>
        <color theme="1"/>
        <sz val="11.0"/>
      </rPr>
      <t>におけるダイナミック</t>
    </r>
    <r>
      <rPr>
        <rFont val="Arial"/>
        <color theme="1"/>
        <sz val="11.0"/>
      </rPr>
      <t>LCA</t>
    </r>
    <r>
      <rPr>
        <rFont val="Noto Sans CJK SC"/>
        <color theme="1"/>
        <sz val="11.0"/>
      </rPr>
      <t>関連情報の収集・分析</t>
    </r>
  </si>
  <si>
    <r>
      <rPr>
        <rFont val="Arial"/>
        <b/>
        <color theme="1"/>
        <sz val="11.0"/>
      </rPr>
      <t xml:space="preserve">(1) </t>
    </r>
    <r>
      <rPr>
        <rFont val="Noto Sans CJK SC"/>
        <b/>
        <color theme="1"/>
        <sz val="11.0"/>
      </rPr>
      <t>政策及び制度調査</t>
    </r>
  </si>
  <si>
    <t>所管省庁及び外郭組織、関連する国家戦略</t>
  </si>
  <si>
    <r>
      <rPr>
        <rFont val="Arial"/>
        <color theme="1"/>
        <sz val="9.0"/>
      </rPr>
      <t>Claude/ChatGPT</t>
    </r>
    <r>
      <rPr>
        <rFont val="Noto Sans CJK SC"/>
        <color theme="1"/>
        <sz val="9.0"/>
      </rPr>
      <t>でフランス語文献の翻訳・要約・論点抽出を一次処理、</t>
    </r>
    <r>
      <rPr>
        <rFont val="Arial"/>
        <color theme="1"/>
        <sz val="9.0"/>
      </rPr>
      <t>DeepL</t>
    </r>
    <r>
      <rPr>
        <rFont val="Noto Sans CJK SC"/>
        <color theme="1"/>
        <sz val="9.0"/>
      </rPr>
      <t>で補助翻訳、人間が検証</t>
    </r>
  </si>
  <si>
    <r>
      <rPr>
        <rFont val="Arial"/>
        <color theme="1"/>
        <sz val="11.0"/>
      </rPr>
      <t>2026</t>
    </r>
    <r>
      <rPr>
        <rFont val="Noto Sans CJK SC"/>
        <color theme="1"/>
        <sz val="11.0"/>
      </rPr>
      <t>年</t>
    </r>
    <r>
      <rPr>
        <rFont val="Arial"/>
        <color theme="1"/>
        <sz val="11.0"/>
      </rPr>
      <t>5</t>
    </r>
    <r>
      <rPr>
        <rFont val="Noto Sans CJK SC"/>
        <color theme="1"/>
        <sz val="11.0"/>
      </rPr>
      <t>月上旬</t>
    </r>
  </si>
  <si>
    <r>
      <rPr>
        <rFont val="Arial"/>
        <color theme="1"/>
        <sz val="11.0"/>
      </rPr>
      <t>2026</t>
    </r>
    <r>
      <rPr>
        <rFont val="Noto Sans CJK SC"/>
        <color theme="1"/>
        <sz val="11.0"/>
      </rPr>
      <t>年</t>
    </r>
    <r>
      <rPr>
        <rFont val="Arial"/>
        <color theme="1"/>
        <sz val="11.0"/>
      </rPr>
      <t>6</t>
    </r>
    <r>
      <rPr>
        <rFont val="Noto Sans CJK SC"/>
        <color theme="1"/>
        <sz val="11.0"/>
      </rPr>
      <t>月初旬</t>
    </r>
  </si>
  <si>
    <r>
      <rPr>
        <rFont val="Noto Sans CJK SC"/>
        <i/>
        <color rgb="FF595959"/>
        <sz val="9.0"/>
      </rPr>
      <t>★優先群</t>
    </r>
    <r>
      <rPr>
        <rFont val="Arial"/>
        <i/>
        <color rgb="FF595959"/>
        <sz val="9.0"/>
      </rPr>
      <t xml:space="preserve">: </t>
    </r>
    <r>
      <rPr>
        <rFont val="Noto Sans CJK SC"/>
        <i/>
        <color rgb="FF595959"/>
        <sz val="9.0"/>
      </rPr>
      <t>制度化背景</t>
    </r>
  </si>
  <si>
    <r>
      <rPr>
        <rFont val="Arial"/>
        <color theme="1"/>
        <sz val="11.0"/>
      </rPr>
      <t xml:space="preserve">1. </t>
    </r>
    <r>
      <rPr>
        <rFont val="Noto Sans CJK SC"/>
        <color theme="1"/>
        <sz val="11.0"/>
      </rPr>
      <t>木材の長期間利用による炭素貯蔵効果の評価手法の検討</t>
    </r>
  </si>
  <si>
    <r>
      <rPr>
        <rFont val="Arial"/>
        <color theme="1"/>
        <sz val="11.0"/>
      </rPr>
      <t xml:space="preserve">(1) </t>
    </r>
    <r>
      <rPr>
        <rFont val="Noto Sans CJK SC"/>
        <color theme="1"/>
        <sz val="11.0"/>
      </rPr>
      <t>フランスのダイナミック</t>
    </r>
    <r>
      <rPr>
        <rFont val="Arial"/>
        <color theme="1"/>
        <sz val="11.0"/>
      </rPr>
      <t>LCA</t>
    </r>
    <r>
      <rPr>
        <rFont val="Noto Sans CJK SC"/>
        <color theme="1"/>
        <sz val="11.0"/>
      </rPr>
      <t>を含む海外での制度事例や検討内容の収集・分析</t>
    </r>
  </si>
  <si>
    <r>
      <rPr>
        <rFont val="Noto Sans CJK SC"/>
        <color theme="1"/>
        <sz val="11.0"/>
      </rPr>
      <t>① フランス</t>
    </r>
    <r>
      <rPr>
        <rFont val="Arial"/>
        <color theme="1"/>
        <sz val="11.0"/>
      </rPr>
      <t>RE2020</t>
    </r>
    <r>
      <rPr>
        <rFont val="Noto Sans CJK SC"/>
        <color theme="1"/>
        <sz val="11.0"/>
      </rPr>
      <t>におけるダイナミック</t>
    </r>
    <r>
      <rPr>
        <rFont val="Arial"/>
        <color theme="1"/>
        <sz val="11.0"/>
      </rPr>
      <t>LCA</t>
    </r>
    <r>
      <rPr>
        <rFont val="Noto Sans CJK SC"/>
        <color theme="1"/>
        <sz val="11.0"/>
      </rPr>
      <t>関連情報の収集・分析</t>
    </r>
  </si>
  <si>
    <r>
      <rPr>
        <rFont val="Arial"/>
        <b/>
        <color theme="1"/>
        <sz val="11.0"/>
      </rPr>
      <t xml:space="preserve">(1) </t>
    </r>
    <r>
      <rPr>
        <rFont val="Noto Sans CJK SC"/>
        <b/>
        <color theme="1"/>
        <sz val="11.0"/>
      </rPr>
      <t>政策及び制度調査</t>
    </r>
  </si>
  <si>
    <t>目的と狙い、課題認識</t>
  </si>
  <si>
    <r>
      <rPr>
        <rFont val="Arial"/>
        <color theme="1"/>
        <sz val="9.0"/>
      </rPr>
      <t>Claude/ChatGPT</t>
    </r>
    <r>
      <rPr>
        <rFont val="Noto Sans CJK SC"/>
        <color theme="1"/>
        <sz val="9.0"/>
      </rPr>
      <t>でフランス語文献の翻訳・要約・論点抽出を一次処理、</t>
    </r>
    <r>
      <rPr>
        <rFont val="Arial"/>
        <color theme="1"/>
        <sz val="9.0"/>
      </rPr>
      <t>DeepL</t>
    </r>
    <r>
      <rPr>
        <rFont val="Noto Sans CJK SC"/>
        <color theme="1"/>
        <sz val="9.0"/>
      </rPr>
      <t>で補助翻訳、人間が検証</t>
    </r>
  </si>
  <si>
    <r>
      <rPr>
        <rFont val="Arial"/>
        <color theme="1"/>
        <sz val="11.0"/>
      </rPr>
      <t>2026</t>
    </r>
    <r>
      <rPr>
        <rFont val="Noto Sans CJK SC"/>
        <color theme="1"/>
        <sz val="11.0"/>
      </rPr>
      <t>年</t>
    </r>
    <r>
      <rPr>
        <rFont val="Arial"/>
        <color theme="1"/>
        <sz val="11.0"/>
      </rPr>
      <t>5</t>
    </r>
    <r>
      <rPr>
        <rFont val="Noto Sans CJK SC"/>
        <color theme="1"/>
        <sz val="11.0"/>
      </rPr>
      <t>月上旬</t>
    </r>
  </si>
  <si>
    <r>
      <rPr>
        <rFont val="Arial"/>
        <color theme="1"/>
        <sz val="11.0"/>
      </rPr>
      <t>2026</t>
    </r>
    <r>
      <rPr>
        <rFont val="Noto Sans CJK SC"/>
        <color theme="1"/>
        <sz val="11.0"/>
      </rPr>
      <t>年</t>
    </r>
    <r>
      <rPr>
        <rFont val="Arial"/>
        <color theme="1"/>
        <sz val="11.0"/>
      </rPr>
      <t>6</t>
    </r>
    <r>
      <rPr>
        <rFont val="Noto Sans CJK SC"/>
        <color theme="1"/>
        <sz val="11.0"/>
      </rPr>
      <t>月初旬</t>
    </r>
  </si>
  <si>
    <r>
      <rPr>
        <rFont val="Noto Sans CJK SC"/>
        <i/>
        <color rgb="FF595959"/>
        <sz val="9.0"/>
      </rPr>
      <t>★優先群</t>
    </r>
    <r>
      <rPr>
        <rFont val="Arial"/>
        <i/>
        <color rgb="FF595959"/>
        <sz val="9.0"/>
      </rPr>
      <t xml:space="preserve">: </t>
    </r>
    <r>
      <rPr>
        <rFont val="Noto Sans CJK SC"/>
        <i/>
        <color rgb="FF595959"/>
        <sz val="9.0"/>
      </rPr>
      <t>制度化背景</t>
    </r>
  </si>
  <si>
    <r>
      <rPr>
        <rFont val="Arial"/>
        <color theme="1"/>
        <sz val="11.0"/>
      </rPr>
      <t xml:space="preserve">1. </t>
    </r>
    <r>
      <rPr>
        <rFont val="Noto Sans CJK SC"/>
        <color theme="1"/>
        <sz val="11.0"/>
      </rPr>
      <t>木材の長期間利用による炭素貯蔵効果の評価手法の検討</t>
    </r>
  </si>
  <si>
    <r>
      <rPr>
        <rFont val="Arial"/>
        <color theme="1"/>
        <sz val="11.0"/>
      </rPr>
      <t xml:space="preserve">(1) </t>
    </r>
    <r>
      <rPr>
        <rFont val="Noto Sans CJK SC"/>
        <color theme="1"/>
        <sz val="11.0"/>
      </rPr>
      <t>フランスのダイナミック</t>
    </r>
    <r>
      <rPr>
        <rFont val="Arial"/>
        <color theme="1"/>
        <sz val="11.0"/>
      </rPr>
      <t>LCA</t>
    </r>
    <r>
      <rPr>
        <rFont val="Noto Sans CJK SC"/>
        <color theme="1"/>
        <sz val="11.0"/>
      </rPr>
      <t>を含む海外での制度事例や検討内容の収集・分析</t>
    </r>
  </si>
  <si>
    <r>
      <rPr>
        <rFont val="Noto Sans CJK SC"/>
        <color theme="1"/>
        <sz val="11.0"/>
      </rPr>
      <t>① フランス</t>
    </r>
    <r>
      <rPr>
        <rFont val="Arial"/>
        <color theme="1"/>
        <sz val="11.0"/>
      </rPr>
      <t>RE2020</t>
    </r>
    <r>
      <rPr>
        <rFont val="Noto Sans CJK SC"/>
        <color theme="1"/>
        <sz val="11.0"/>
      </rPr>
      <t>におけるダイナミック</t>
    </r>
    <r>
      <rPr>
        <rFont val="Arial"/>
        <color theme="1"/>
        <sz val="11.0"/>
      </rPr>
      <t>LCA</t>
    </r>
    <r>
      <rPr>
        <rFont val="Noto Sans CJK SC"/>
        <color theme="1"/>
        <sz val="11.0"/>
      </rPr>
      <t>関連情報の収集・分析</t>
    </r>
  </si>
  <si>
    <r>
      <rPr>
        <rFont val="Arial"/>
        <b/>
        <color theme="1"/>
        <sz val="11.0"/>
      </rPr>
      <t xml:space="preserve">(1) </t>
    </r>
    <r>
      <rPr>
        <rFont val="Noto Sans CJK SC"/>
        <b/>
        <color theme="1"/>
        <sz val="11.0"/>
      </rPr>
      <t>政策及び制度調査</t>
    </r>
  </si>
  <si>
    <t>エ</t>
  </si>
  <si>
    <t>フランスの林業木材利用戦略との関係性</t>
  </si>
  <si>
    <r>
      <rPr>
        <rFont val="Arial"/>
        <color theme="1"/>
        <sz val="9.0"/>
      </rPr>
      <t>Claude/ChatGPT</t>
    </r>
    <r>
      <rPr>
        <rFont val="Noto Sans CJK SC"/>
        <color theme="1"/>
        <sz val="9.0"/>
      </rPr>
      <t>でフランス語文献の翻訳・要約・論点抽出を一次処理、</t>
    </r>
    <r>
      <rPr>
        <rFont val="Arial"/>
        <color theme="1"/>
        <sz val="9.0"/>
      </rPr>
      <t>DeepL</t>
    </r>
    <r>
      <rPr>
        <rFont val="Noto Sans CJK SC"/>
        <color theme="1"/>
        <sz val="9.0"/>
      </rPr>
      <t>で補助翻訳、人間が検証</t>
    </r>
  </si>
  <si>
    <r>
      <rPr>
        <rFont val="Arial"/>
        <color theme="1"/>
        <sz val="11.0"/>
      </rPr>
      <t>2026</t>
    </r>
    <r>
      <rPr>
        <rFont val="Noto Sans CJK SC"/>
        <color theme="1"/>
        <sz val="11.0"/>
      </rPr>
      <t>年</t>
    </r>
    <r>
      <rPr>
        <rFont val="Arial"/>
        <color theme="1"/>
        <sz val="11.0"/>
      </rPr>
      <t>5</t>
    </r>
    <r>
      <rPr>
        <rFont val="Noto Sans CJK SC"/>
        <color theme="1"/>
        <sz val="11.0"/>
      </rPr>
      <t>月上旬</t>
    </r>
  </si>
  <si>
    <r>
      <rPr>
        <rFont val="Arial"/>
        <color theme="1"/>
        <sz val="11.0"/>
      </rPr>
      <t>2026</t>
    </r>
    <r>
      <rPr>
        <rFont val="Noto Sans CJK SC"/>
        <color theme="1"/>
        <sz val="11.0"/>
      </rPr>
      <t>年</t>
    </r>
    <r>
      <rPr>
        <rFont val="Arial"/>
        <color theme="1"/>
        <sz val="11.0"/>
      </rPr>
      <t>6</t>
    </r>
    <r>
      <rPr>
        <rFont val="Noto Sans CJK SC"/>
        <color theme="1"/>
        <sz val="11.0"/>
      </rPr>
      <t>月初旬</t>
    </r>
  </si>
  <si>
    <r>
      <rPr>
        <rFont val="Noto Sans CJK SC"/>
        <i/>
        <color rgb="FF595959"/>
        <sz val="9.0"/>
      </rPr>
      <t>★優先群</t>
    </r>
    <r>
      <rPr>
        <rFont val="Arial"/>
        <i/>
        <color rgb="FF595959"/>
        <sz val="9.0"/>
      </rPr>
      <t xml:space="preserve">: </t>
    </r>
    <r>
      <rPr>
        <rFont val="Noto Sans CJK SC"/>
        <i/>
        <color rgb="FF595959"/>
        <sz val="9.0"/>
      </rPr>
      <t>制度化背景</t>
    </r>
  </si>
  <si>
    <r>
      <rPr>
        <rFont val="Arial"/>
        <color theme="1"/>
        <sz val="11.0"/>
      </rPr>
      <t xml:space="preserve">1. </t>
    </r>
    <r>
      <rPr>
        <rFont val="Noto Sans CJK SC"/>
        <color theme="1"/>
        <sz val="11.0"/>
      </rPr>
      <t>木材の長期間利用による炭素貯蔵効果の評価手法の検討</t>
    </r>
  </si>
  <si>
    <r>
      <rPr>
        <rFont val="Arial"/>
        <color theme="1"/>
        <sz val="11.0"/>
      </rPr>
      <t xml:space="preserve">(1) </t>
    </r>
    <r>
      <rPr>
        <rFont val="Noto Sans CJK SC"/>
        <color theme="1"/>
        <sz val="11.0"/>
      </rPr>
      <t>フランスのダイナミック</t>
    </r>
    <r>
      <rPr>
        <rFont val="Arial"/>
        <color theme="1"/>
        <sz val="11.0"/>
      </rPr>
      <t>LCA</t>
    </r>
    <r>
      <rPr>
        <rFont val="Noto Sans CJK SC"/>
        <color theme="1"/>
        <sz val="11.0"/>
      </rPr>
      <t>を含む海外での制度事例や検討内容の収集・分析</t>
    </r>
  </si>
  <si>
    <r>
      <rPr>
        <rFont val="Noto Sans CJK SC"/>
        <color theme="1"/>
        <sz val="11.0"/>
      </rPr>
      <t>① フランス</t>
    </r>
    <r>
      <rPr>
        <rFont val="Arial"/>
        <color theme="1"/>
        <sz val="11.0"/>
      </rPr>
      <t>RE2020</t>
    </r>
    <r>
      <rPr>
        <rFont val="Noto Sans CJK SC"/>
        <color theme="1"/>
        <sz val="11.0"/>
      </rPr>
      <t>におけるダイナミック</t>
    </r>
    <r>
      <rPr>
        <rFont val="Arial"/>
        <color theme="1"/>
        <sz val="11.0"/>
      </rPr>
      <t>LCA</t>
    </r>
    <r>
      <rPr>
        <rFont val="Noto Sans CJK SC"/>
        <color theme="1"/>
        <sz val="11.0"/>
      </rPr>
      <t>関連情報の収集・分析</t>
    </r>
  </si>
  <si>
    <r>
      <rPr>
        <rFont val="Arial"/>
        <b/>
        <color theme="1"/>
        <sz val="11.0"/>
      </rPr>
      <t xml:space="preserve">(1) </t>
    </r>
    <r>
      <rPr>
        <rFont val="Noto Sans CJK SC"/>
        <b/>
        <color theme="1"/>
        <sz val="11.0"/>
      </rPr>
      <t>政策及び制度調査</t>
    </r>
  </si>
  <si>
    <r>
      <rPr>
        <rFont val="Noto Sans CJK SC"/>
        <color theme="1"/>
        <sz val="11.0"/>
      </rPr>
      <t>建築環境性能評価制度（建築物</t>
    </r>
    <r>
      <rPr>
        <rFont val="Arial"/>
        <color theme="1"/>
        <sz val="11.0"/>
      </rPr>
      <t>LCA</t>
    </r>
    <r>
      <rPr>
        <rFont val="Noto Sans CJK SC"/>
        <color theme="1"/>
        <sz val="11.0"/>
      </rPr>
      <t>）の全体構造</t>
    </r>
  </si>
  <si>
    <t>サーキュラーエコノミー施策との関係性</t>
  </si>
  <si>
    <r>
      <rPr>
        <rFont val="Arial"/>
        <color theme="1"/>
        <sz val="9.0"/>
      </rPr>
      <t>Claude/ChatGPT</t>
    </r>
    <r>
      <rPr>
        <rFont val="Noto Sans CJK SC"/>
        <color theme="1"/>
        <sz val="9.0"/>
      </rPr>
      <t>でフランス語文献の翻訳・要約・論点抽出を一次処理、</t>
    </r>
    <r>
      <rPr>
        <rFont val="Arial"/>
        <color theme="1"/>
        <sz val="9.0"/>
      </rPr>
      <t>DeepL</t>
    </r>
    <r>
      <rPr>
        <rFont val="Noto Sans CJK SC"/>
        <color theme="1"/>
        <sz val="9.0"/>
      </rPr>
      <t>で補助翻訳、人間が検証</t>
    </r>
  </si>
  <si>
    <r>
      <rPr>
        <rFont val="Arial"/>
        <color theme="1"/>
        <sz val="11.0"/>
      </rPr>
      <t>2026</t>
    </r>
    <r>
      <rPr>
        <rFont val="Noto Sans CJK SC"/>
        <color theme="1"/>
        <sz val="11.0"/>
      </rPr>
      <t>年</t>
    </r>
    <r>
      <rPr>
        <rFont val="Arial"/>
        <color theme="1"/>
        <sz val="11.0"/>
      </rPr>
      <t>6</t>
    </r>
    <r>
      <rPr>
        <rFont val="Noto Sans CJK SC"/>
        <color theme="1"/>
        <sz val="11.0"/>
      </rPr>
      <t>月中旬</t>
    </r>
  </si>
  <si>
    <r>
      <rPr>
        <rFont val="Arial"/>
        <color theme="1"/>
        <sz val="11.0"/>
      </rPr>
      <t>2026</t>
    </r>
    <r>
      <rPr>
        <rFont val="Noto Sans CJK SC"/>
        <color theme="1"/>
        <sz val="11.0"/>
      </rPr>
      <t>年</t>
    </r>
    <r>
      <rPr>
        <rFont val="Arial"/>
        <color theme="1"/>
        <sz val="11.0"/>
      </rPr>
      <t>7</t>
    </r>
    <r>
      <rPr>
        <rFont val="Noto Sans CJK SC"/>
        <color theme="1"/>
        <sz val="11.0"/>
      </rPr>
      <t>月下旬</t>
    </r>
  </si>
  <si>
    <r>
      <rPr>
        <rFont val="Arial"/>
        <color theme="1"/>
        <sz val="11.0"/>
      </rPr>
      <t xml:space="preserve">1. </t>
    </r>
    <r>
      <rPr>
        <rFont val="Noto Sans CJK SC"/>
        <color theme="1"/>
        <sz val="11.0"/>
      </rPr>
      <t>木材の長期間利用による炭素貯蔵効果の評価手法の検討</t>
    </r>
  </si>
  <si>
    <r>
      <rPr>
        <rFont val="Arial"/>
        <color theme="1"/>
        <sz val="11.0"/>
      </rPr>
      <t xml:space="preserve">(1) </t>
    </r>
    <r>
      <rPr>
        <rFont val="Noto Sans CJK SC"/>
        <color theme="1"/>
        <sz val="11.0"/>
      </rPr>
      <t>フランスのダイナミック</t>
    </r>
    <r>
      <rPr>
        <rFont val="Arial"/>
        <color theme="1"/>
        <sz val="11.0"/>
      </rPr>
      <t>LCA</t>
    </r>
    <r>
      <rPr>
        <rFont val="Noto Sans CJK SC"/>
        <color theme="1"/>
        <sz val="11.0"/>
      </rPr>
      <t>を含む海外での制度事例や検討内容の収集・分析</t>
    </r>
  </si>
  <si>
    <r>
      <rPr>
        <rFont val="Noto Sans CJK SC"/>
        <color theme="1"/>
        <sz val="11.0"/>
      </rPr>
      <t>① フランス</t>
    </r>
    <r>
      <rPr>
        <rFont val="Arial"/>
        <color theme="1"/>
        <sz val="11.0"/>
      </rPr>
      <t>RE2020</t>
    </r>
    <r>
      <rPr>
        <rFont val="Noto Sans CJK SC"/>
        <color theme="1"/>
        <sz val="11.0"/>
      </rPr>
      <t>におけるダイナミック</t>
    </r>
    <r>
      <rPr>
        <rFont val="Arial"/>
        <color theme="1"/>
        <sz val="11.0"/>
      </rPr>
      <t>LCA</t>
    </r>
    <r>
      <rPr>
        <rFont val="Noto Sans CJK SC"/>
        <color theme="1"/>
        <sz val="11.0"/>
      </rPr>
      <t>関連情報の収集・分析</t>
    </r>
  </si>
  <si>
    <r>
      <rPr>
        <rFont val="Arial"/>
        <b/>
        <color theme="1"/>
        <sz val="11.0"/>
      </rPr>
      <t xml:space="preserve">(1) </t>
    </r>
    <r>
      <rPr>
        <rFont val="Noto Sans CJK SC"/>
        <b/>
        <color theme="1"/>
        <sz val="11.0"/>
      </rPr>
      <t>政策及び制度調査</t>
    </r>
  </si>
  <si>
    <t>②</t>
  </si>
  <si>
    <r>
      <rPr>
        <rFont val="Noto Sans CJK SC"/>
        <color theme="1"/>
        <sz val="11.0"/>
      </rPr>
      <t>ダイナミック</t>
    </r>
    <r>
      <rPr>
        <rFont val="Arial"/>
        <color theme="1"/>
        <sz val="11.0"/>
      </rPr>
      <t>LCA</t>
    </r>
    <r>
      <rPr>
        <rFont val="Noto Sans CJK SC"/>
        <color theme="1"/>
        <sz val="11.0"/>
      </rPr>
      <t>の要件整理</t>
    </r>
  </si>
  <si>
    <t>対象建築物の種別と範囲、並びに導入時の段階適用内容</t>
  </si>
  <si>
    <r>
      <rPr>
        <rFont val="Arial"/>
        <color theme="1"/>
        <sz val="9.0"/>
      </rPr>
      <t>AI</t>
    </r>
    <r>
      <rPr>
        <rFont val="Noto Sans CJK SC"/>
        <color theme="1"/>
        <sz val="9.0"/>
      </rPr>
      <t>で文献翻訳・要件抽出を自動化、人間が検証</t>
    </r>
  </si>
  <si>
    <r>
      <rPr>
        <rFont val="Arial"/>
        <color theme="1"/>
        <sz val="11.0"/>
      </rPr>
      <t>2026</t>
    </r>
    <r>
      <rPr>
        <rFont val="Noto Sans CJK SC"/>
        <color theme="1"/>
        <sz val="11.0"/>
      </rPr>
      <t>年</t>
    </r>
    <r>
      <rPr>
        <rFont val="Arial"/>
        <color theme="1"/>
        <sz val="11.0"/>
      </rPr>
      <t>6</t>
    </r>
    <r>
      <rPr>
        <rFont val="Noto Sans CJK SC"/>
        <color theme="1"/>
        <sz val="11.0"/>
      </rPr>
      <t>月中旬</t>
    </r>
  </si>
  <si>
    <r>
      <rPr>
        <rFont val="Arial"/>
        <color theme="1"/>
        <sz val="11.0"/>
      </rPr>
      <t>2026</t>
    </r>
    <r>
      <rPr>
        <rFont val="Noto Sans CJK SC"/>
        <color theme="1"/>
        <sz val="11.0"/>
      </rPr>
      <t>年</t>
    </r>
    <r>
      <rPr>
        <rFont val="Arial"/>
        <color theme="1"/>
        <sz val="11.0"/>
      </rPr>
      <t>7</t>
    </r>
    <r>
      <rPr>
        <rFont val="Noto Sans CJK SC"/>
        <color theme="1"/>
        <sz val="11.0"/>
      </rPr>
      <t>月下旬</t>
    </r>
  </si>
  <si>
    <r>
      <rPr>
        <rFont val="Arial"/>
        <color theme="1"/>
        <sz val="11.0"/>
      </rPr>
      <t xml:space="preserve">1. </t>
    </r>
    <r>
      <rPr>
        <rFont val="Noto Sans CJK SC"/>
        <color theme="1"/>
        <sz val="11.0"/>
      </rPr>
      <t>木材の長期間利用による炭素貯蔵効果の評価手法の検討</t>
    </r>
  </si>
  <si>
    <r>
      <rPr>
        <rFont val="Arial"/>
        <color theme="1"/>
        <sz val="11.0"/>
      </rPr>
      <t xml:space="preserve">(1) </t>
    </r>
    <r>
      <rPr>
        <rFont val="Noto Sans CJK SC"/>
        <color theme="1"/>
        <sz val="11.0"/>
      </rPr>
      <t>フランスのダイナミック</t>
    </r>
    <r>
      <rPr>
        <rFont val="Arial"/>
        <color theme="1"/>
        <sz val="11.0"/>
      </rPr>
      <t>LCA</t>
    </r>
    <r>
      <rPr>
        <rFont val="Noto Sans CJK SC"/>
        <color theme="1"/>
        <sz val="11.0"/>
      </rPr>
      <t>を含む海外での制度事例や検討内容の収集・分析</t>
    </r>
  </si>
  <si>
    <r>
      <rPr>
        <rFont val="Noto Sans CJK SC"/>
        <color theme="1"/>
        <sz val="11.0"/>
      </rPr>
      <t>① フランス</t>
    </r>
    <r>
      <rPr>
        <rFont val="Arial"/>
        <color theme="1"/>
        <sz val="11.0"/>
      </rPr>
      <t>RE2020</t>
    </r>
    <r>
      <rPr>
        <rFont val="Noto Sans CJK SC"/>
        <color theme="1"/>
        <sz val="11.0"/>
      </rPr>
      <t>におけるダイナミック</t>
    </r>
    <r>
      <rPr>
        <rFont val="Arial"/>
        <color theme="1"/>
        <sz val="11.0"/>
      </rPr>
      <t>LCA</t>
    </r>
    <r>
      <rPr>
        <rFont val="Noto Sans CJK SC"/>
        <color theme="1"/>
        <sz val="11.0"/>
      </rPr>
      <t>関連情報の収集・分析</t>
    </r>
  </si>
  <si>
    <r>
      <rPr>
        <rFont val="Arial"/>
        <b/>
        <color theme="1"/>
        <sz val="11.0"/>
      </rPr>
      <t xml:space="preserve">(1) </t>
    </r>
    <r>
      <rPr>
        <rFont val="Noto Sans CJK SC"/>
        <b/>
        <color theme="1"/>
        <sz val="11.0"/>
      </rPr>
      <t>政策及び制度調査</t>
    </r>
  </si>
  <si>
    <r>
      <rPr>
        <rFont val="Noto Sans CJK SC"/>
        <color theme="1"/>
        <sz val="11.0"/>
      </rPr>
      <t>ダイナミック</t>
    </r>
    <r>
      <rPr>
        <rFont val="Arial"/>
        <color theme="1"/>
        <sz val="11.0"/>
      </rPr>
      <t>LCA</t>
    </r>
    <r>
      <rPr>
        <rFont val="Noto Sans CJK SC"/>
        <color theme="1"/>
        <sz val="11.0"/>
      </rPr>
      <t>の要件整理</t>
    </r>
  </si>
  <si>
    <t>遅延排出の評価根拠</t>
  </si>
  <si>
    <r>
      <rPr>
        <rFont val="Arial"/>
        <color theme="1"/>
        <sz val="9.0"/>
      </rPr>
      <t>AI</t>
    </r>
    <r>
      <rPr>
        <rFont val="Noto Sans CJK SC"/>
        <color theme="1"/>
        <sz val="9.0"/>
      </rPr>
      <t>で根拠資料の翻訳・要約、人間が解釈精査</t>
    </r>
  </si>
  <si>
    <r>
      <rPr>
        <rFont val="Arial"/>
        <color theme="1"/>
        <sz val="11.0"/>
      </rPr>
      <t>2026</t>
    </r>
    <r>
      <rPr>
        <rFont val="Noto Sans CJK SC"/>
        <color theme="1"/>
        <sz val="11.0"/>
      </rPr>
      <t>年</t>
    </r>
    <r>
      <rPr>
        <rFont val="Arial"/>
        <color theme="1"/>
        <sz val="11.0"/>
      </rPr>
      <t>6</t>
    </r>
    <r>
      <rPr>
        <rFont val="Noto Sans CJK SC"/>
        <color theme="1"/>
        <sz val="11.0"/>
      </rPr>
      <t>月中旬</t>
    </r>
  </si>
  <si>
    <r>
      <rPr>
        <rFont val="Arial"/>
        <color theme="1"/>
        <sz val="11.0"/>
      </rPr>
      <t>2026</t>
    </r>
    <r>
      <rPr>
        <rFont val="Noto Sans CJK SC"/>
        <color theme="1"/>
        <sz val="11.0"/>
      </rPr>
      <t>年</t>
    </r>
    <r>
      <rPr>
        <rFont val="Arial"/>
        <color theme="1"/>
        <sz val="11.0"/>
      </rPr>
      <t>7</t>
    </r>
    <r>
      <rPr>
        <rFont val="Noto Sans CJK SC"/>
        <color theme="1"/>
        <sz val="11.0"/>
      </rPr>
      <t>月下旬</t>
    </r>
  </si>
  <si>
    <t>解釈判断が重要</t>
  </si>
  <si>
    <r>
      <rPr>
        <rFont val="Arial"/>
        <color theme="1"/>
        <sz val="11.0"/>
      </rPr>
      <t xml:space="preserve">1. </t>
    </r>
    <r>
      <rPr>
        <rFont val="Noto Sans CJK SC"/>
        <color theme="1"/>
        <sz val="11.0"/>
      </rPr>
      <t>木材の長期間利用による炭素貯蔵効果の評価手法の検討</t>
    </r>
  </si>
  <si>
    <r>
      <rPr>
        <rFont val="Arial"/>
        <color theme="1"/>
        <sz val="11.0"/>
      </rPr>
      <t xml:space="preserve">(1) </t>
    </r>
    <r>
      <rPr>
        <rFont val="Noto Sans CJK SC"/>
        <color theme="1"/>
        <sz val="11.0"/>
      </rPr>
      <t>フランスのダイナミック</t>
    </r>
    <r>
      <rPr>
        <rFont val="Arial"/>
        <color theme="1"/>
        <sz val="11.0"/>
      </rPr>
      <t>LCA</t>
    </r>
    <r>
      <rPr>
        <rFont val="Noto Sans CJK SC"/>
        <color theme="1"/>
        <sz val="11.0"/>
      </rPr>
      <t>を含む海外での制度事例や検討内容の収集・分析</t>
    </r>
  </si>
  <si>
    <r>
      <rPr>
        <rFont val="Noto Sans CJK SC"/>
        <color theme="1"/>
        <sz val="11.0"/>
      </rPr>
      <t>① フランス</t>
    </r>
    <r>
      <rPr>
        <rFont val="Arial"/>
        <color theme="1"/>
        <sz val="11.0"/>
      </rPr>
      <t>RE2020</t>
    </r>
    <r>
      <rPr>
        <rFont val="Noto Sans CJK SC"/>
        <color theme="1"/>
        <sz val="11.0"/>
      </rPr>
      <t>におけるダイナミック</t>
    </r>
    <r>
      <rPr>
        <rFont val="Arial"/>
        <color theme="1"/>
        <sz val="11.0"/>
      </rPr>
      <t>LCA</t>
    </r>
    <r>
      <rPr>
        <rFont val="Noto Sans CJK SC"/>
        <color theme="1"/>
        <sz val="11.0"/>
      </rPr>
      <t>関連情報の収集・分析</t>
    </r>
  </si>
  <si>
    <r>
      <rPr>
        <rFont val="Arial"/>
        <b/>
        <color theme="1"/>
        <sz val="11.0"/>
      </rPr>
      <t xml:space="preserve">(1) </t>
    </r>
    <r>
      <rPr>
        <rFont val="Noto Sans CJK SC"/>
        <b/>
        <color theme="1"/>
        <sz val="11.0"/>
      </rPr>
      <t>政策及び制度調査</t>
    </r>
  </si>
  <si>
    <r>
      <rPr>
        <rFont val="Noto Sans CJK SC"/>
        <color theme="1"/>
        <sz val="11.0"/>
      </rPr>
      <t>ダイナミック</t>
    </r>
    <r>
      <rPr>
        <rFont val="Arial"/>
        <color theme="1"/>
        <sz val="11.0"/>
      </rPr>
      <t>LCA</t>
    </r>
    <r>
      <rPr>
        <rFont val="Noto Sans CJK SC"/>
        <color theme="1"/>
        <sz val="11.0"/>
      </rPr>
      <t>の要件整理</t>
    </r>
  </si>
  <si>
    <t>各種パラメータ内容</t>
  </si>
  <si>
    <r>
      <rPr>
        <rFont val="Arial"/>
        <color theme="1"/>
        <sz val="9.0"/>
      </rPr>
      <t>AI</t>
    </r>
    <r>
      <rPr>
        <rFont val="Noto Sans CJK SC"/>
        <color theme="1"/>
        <sz val="9.0"/>
      </rPr>
      <t>でパラメータ表の自動整理・翻訳</t>
    </r>
  </si>
  <si>
    <r>
      <rPr>
        <rFont val="Arial"/>
        <color theme="1"/>
        <sz val="11.0"/>
      </rPr>
      <t>2026</t>
    </r>
    <r>
      <rPr>
        <rFont val="Noto Sans CJK SC"/>
        <color theme="1"/>
        <sz val="11.0"/>
      </rPr>
      <t>年</t>
    </r>
    <r>
      <rPr>
        <rFont val="Arial"/>
        <color theme="1"/>
        <sz val="11.0"/>
      </rPr>
      <t>6</t>
    </r>
    <r>
      <rPr>
        <rFont val="Noto Sans CJK SC"/>
        <color theme="1"/>
        <sz val="11.0"/>
      </rPr>
      <t>月中旬</t>
    </r>
  </si>
  <si>
    <r>
      <rPr>
        <rFont val="Arial"/>
        <color theme="1"/>
        <sz val="11.0"/>
      </rPr>
      <t>2026</t>
    </r>
    <r>
      <rPr>
        <rFont val="Noto Sans CJK SC"/>
        <color theme="1"/>
        <sz val="11.0"/>
      </rPr>
      <t>年</t>
    </r>
    <r>
      <rPr>
        <rFont val="Arial"/>
        <color theme="1"/>
        <sz val="11.0"/>
      </rPr>
      <t>7</t>
    </r>
    <r>
      <rPr>
        <rFont val="Noto Sans CJK SC"/>
        <color theme="1"/>
        <sz val="11.0"/>
      </rPr>
      <t>月下旬</t>
    </r>
  </si>
  <si>
    <r>
      <rPr>
        <rFont val="Arial"/>
        <color theme="1"/>
        <sz val="11.0"/>
      </rPr>
      <t xml:space="preserve">1. </t>
    </r>
    <r>
      <rPr>
        <rFont val="Noto Sans CJK SC"/>
        <color theme="1"/>
        <sz val="11.0"/>
      </rPr>
      <t>木材の長期間利用による炭素貯蔵効果の評価手法の検討</t>
    </r>
  </si>
  <si>
    <r>
      <rPr>
        <rFont val="Arial"/>
        <color theme="1"/>
        <sz val="11.0"/>
      </rPr>
      <t xml:space="preserve">(1) </t>
    </r>
    <r>
      <rPr>
        <rFont val="Noto Sans CJK SC"/>
        <color theme="1"/>
        <sz val="11.0"/>
      </rPr>
      <t>フランスのダイナミック</t>
    </r>
    <r>
      <rPr>
        <rFont val="Arial"/>
        <color theme="1"/>
        <sz val="11.0"/>
      </rPr>
      <t>LCA</t>
    </r>
    <r>
      <rPr>
        <rFont val="Noto Sans CJK SC"/>
        <color theme="1"/>
        <sz val="11.0"/>
      </rPr>
      <t>を含む海外での制度事例や検討内容の収集・分析</t>
    </r>
  </si>
  <si>
    <r>
      <rPr>
        <rFont val="Noto Sans CJK SC"/>
        <color theme="1"/>
        <sz val="11.0"/>
      </rPr>
      <t>① フランス</t>
    </r>
    <r>
      <rPr>
        <rFont val="Arial"/>
        <color theme="1"/>
        <sz val="11.0"/>
      </rPr>
      <t>RE2020</t>
    </r>
    <r>
      <rPr>
        <rFont val="Noto Sans CJK SC"/>
        <color theme="1"/>
        <sz val="11.0"/>
      </rPr>
      <t>におけるダイナミック</t>
    </r>
    <r>
      <rPr>
        <rFont val="Arial"/>
        <color theme="1"/>
        <sz val="11.0"/>
      </rPr>
      <t>LCA</t>
    </r>
    <r>
      <rPr>
        <rFont val="Noto Sans CJK SC"/>
        <color theme="1"/>
        <sz val="11.0"/>
      </rPr>
      <t>関連情報の収集・分析</t>
    </r>
  </si>
  <si>
    <r>
      <rPr>
        <rFont val="Arial"/>
        <b/>
        <color theme="1"/>
        <sz val="11.0"/>
      </rPr>
      <t xml:space="preserve">(1) </t>
    </r>
    <r>
      <rPr>
        <rFont val="Noto Sans CJK SC"/>
        <b/>
        <color theme="1"/>
        <sz val="11.0"/>
      </rPr>
      <t>政策及び制度調査</t>
    </r>
  </si>
  <si>
    <t>③</t>
  </si>
  <si>
    <t>生物由来炭素及び炭素貯蔵評価の制度的位置付け</t>
  </si>
  <si>
    <t>貯蔵量算定方法</t>
  </si>
  <si>
    <r>
      <rPr>
        <rFont val="Arial"/>
        <color theme="1"/>
        <sz val="9.0"/>
      </rPr>
      <t>AI</t>
    </r>
    <r>
      <rPr>
        <rFont val="Noto Sans CJK SC"/>
        <color theme="1"/>
        <sz val="9.0"/>
      </rPr>
      <t>で算定式・計算例の翻訳整理、人間が精査</t>
    </r>
  </si>
  <si>
    <r>
      <rPr>
        <rFont val="Arial"/>
        <color theme="1"/>
        <sz val="11.0"/>
      </rPr>
      <t>2026</t>
    </r>
    <r>
      <rPr>
        <rFont val="Noto Sans CJK SC"/>
        <color theme="1"/>
        <sz val="11.0"/>
      </rPr>
      <t>年</t>
    </r>
    <r>
      <rPr>
        <rFont val="Arial"/>
        <color theme="1"/>
        <sz val="11.0"/>
      </rPr>
      <t>6</t>
    </r>
    <r>
      <rPr>
        <rFont val="Noto Sans CJK SC"/>
        <color theme="1"/>
        <sz val="11.0"/>
      </rPr>
      <t>月中旬</t>
    </r>
  </si>
  <si>
    <r>
      <rPr>
        <rFont val="Arial"/>
        <color theme="1"/>
        <sz val="11.0"/>
      </rPr>
      <t>2026</t>
    </r>
    <r>
      <rPr>
        <rFont val="Noto Sans CJK SC"/>
        <color theme="1"/>
        <sz val="11.0"/>
      </rPr>
      <t>年</t>
    </r>
    <r>
      <rPr>
        <rFont val="Arial"/>
        <color theme="1"/>
        <sz val="11.0"/>
      </rPr>
      <t>7</t>
    </r>
    <r>
      <rPr>
        <rFont val="Noto Sans CJK SC"/>
        <color theme="1"/>
        <sz val="11.0"/>
      </rPr>
      <t>月下旬</t>
    </r>
  </si>
  <si>
    <t>計算根拠の精査が必要</t>
  </si>
  <si>
    <r>
      <rPr>
        <rFont val="Arial"/>
        <color theme="1"/>
        <sz val="11.0"/>
      </rPr>
      <t xml:space="preserve">1. </t>
    </r>
    <r>
      <rPr>
        <rFont val="Noto Sans CJK SC"/>
        <color theme="1"/>
        <sz val="11.0"/>
      </rPr>
      <t>木材の長期間利用による炭素貯蔵効果の評価手法の検討</t>
    </r>
  </si>
  <si>
    <r>
      <rPr>
        <rFont val="Arial"/>
        <color theme="1"/>
        <sz val="11.0"/>
      </rPr>
      <t xml:space="preserve">(1) </t>
    </r>
    <r>
      <rPr>
        <rFont val="Noto Sans CJK SC"/>
        <color theme="1"/>
        <sz val="11.0"/>
      </rPr>
      <t>フランスのダイナミック</t>
    </r>
    <r>
      <rPr>
        <rFont val="Arial"/>
        <color theme="1"/>
        <sz val="11.0"/>
      </rPr>
      <t>LCA</t>
    </r>
    <r>
      <rPr>
        <rFont val="Noto Sans CJK SC"/>
        <color theme="1"/>
        <sz val="11.0"/>
      </rPr>
      <t>を含む海外での制度事例や検討内容の収集・分析</t>
    </r>
  </si>
  <si>
    <r>
      <rPr>
        <rFont val="Noto Sans CJK SC"/>
        <color theme="1"/>
        <sz val="11.0"/>
      </rPr>
      <t>① フランス</t>
    </r>
    <r>
      <rPr>
        <rFont val="Arial"/>
        <color theme="1"/>
        <sz val="11.0"/>
      </rPr>
      <t>RE2020</t>
    </r>
    <r>
      <rPr>
        <rFont val="Noto Sans CJK SC"/>
        <color theme="1"/>
        <sz val="11.0"/>
      </rPr>
      <t>におけるダイナミック</t>
    </r>
    <r>
      <rPr>
        <rFont val="Arial"/>
        <color theme="1"/>
        <sz val="11.0"/>
      </rPr>
      <t>LCA</t>
    </r>
    <r>
      <rPr>
        <rFont val="Noto Sans CJK SC"/>
        <color theme="1"/>
        <sz val="11.0"/>
      </rPr>
      <t>関連情報の収集・分析</t>
    </r>
  </si>
  <si>
    <r>
      <rPr>
        <rFont val="Arial"/>
        <b/>
        <color theme="1"/>
        <sz val="11.0"/>
      </rPr>
      <t xml:space="preserve">(1) </t>
    </r>
    <r>
      <rPr>
        <rFont val="Noto Sans CJK SC"/>
        <b/>
        <color theme="1"/>
        <sz val="11.0"/>
      </rPr>
      <t>政策及び制度調査</t>
    </r>
  </si>
  <si>
    <t>評価期間の設定根拠</t>
  </si>
  <si>
    <r>
      <rPr>
        <rFont val="Arial"/>
        <color theme="1"/>
        <sz val="9.0"/>
      </rPr>
      <t>AI</t>
    </r>
    <r>
      <rPr>
        <rFont val="Noto Sans CJK SC"/>
        <color theme="1"/>
        <sz val="9.0"/>
      </rPr>
      <t>で根拠資料の翻訳・要点抽出</t>
    </r>
  </si>
  <si>
    <r>
      <rPr>
        <rFont val="Arial"/>
        <color theme="1"/>
        <sz val="11.0"/>
      </rPr>
      <t>2026</t>
    </r>
    <r>
      <rPr>
        <rFont val="Noto Sans CJK SC"/>
        <color theme="1"/>
        <sz val="11.0"/>
      </rPr>
      <t>年</t>
    </r>
    <r>
      <rPr>
        <rFont val="Arial"/>
        <color theme="1"/>
        <sz val="11.0"/>
      </rPr>
      <t>6</t>
    </r>
    <r>
      <rPr>
        <rFont val="Noto Sans CJK SC"/>
        <color theme="1"/>
        <sz val="11.0"/>
      </rPr>
      <t>月中旬</t>
    </r>
  </si>
  <si>
    <r>
      <rPr>
        <rFont val="Arial"/>
        <color theme="1"/>
        <sz val="11.0"/>
      </rPr>
      <t>2026</t>
    </r>
    <r>
      <rPr>
        <rFont val="Noto Sans CJK SC"/>
        <color theme="1"/>
        <sz val="11.0"/>
      </rPr>
      <t>年</t>
    </r>
    <r>
      <rPr>
        <rFont val="Arial"/>
        <color theme="1"/>
        <sz val="11.0"/>
      </rPr>
      <t>7</t>
    </r>
    <r>
      <rPr>
        <rFont val="Noto Sans CJK SC"/>
        <color theme="1"/>
        <sz val="11.0"/>
      </rPr>
      <t>月下旬</t>
    </r>
  </si>
  <si>
    <r>
      <rPr>
        <rFont val="Arial"/>
        <color theme="1"/>
        <sz val="11.0"/>
      </rPr>
      <t xml:space="preserve">1. </t>
    </r>
    <r>
      <rPr>
        <rFont val="Noto Sans CJK SC"/>
        <color theme="1"/>
        <sz val="11.0"/>
      </rPr>
      <t>木材の長期間利用による炭素貯蔵効果の評価手法の検討</t>
    </r>
  </si>
  <si>
    <r>
      <rPr>
        <rFont val="Arial"/>
        <color theme="1"/>
        <sz val="11.0"/>
      </rPr>
      <t xml:space="preserve">(1) </t>
    </r>
    <r>
      <rPr>
        <rFont val="Noto Sans CJK SC"/>
        <color theme="1"/>
        <sz val="11.0"/>
      </rPr>
      <t>フランスのダイナミック</t>
    </r>
    <r>
      <rPr>
        <rFont val="Arial"/>
        <color theme="1"/>
        <sz val="11.0"/>
      </rPr>
      <t>LCA</t>
    </r>
    <r>
      <rPr>
        <rFont val="Noto Sans CJK SC"/>
        <color theme="1"/>
        <sz val="11.0"/>
      </rPr>
      <t>を含む海外での制度事例や検討内容の収集・分析</t>
    </r>
  </si>
  <si>
    <r>
      <rPr>
        <rFont val="Noto Sans CJK SC"/>
        <color theme="1"/>
        <sz val="11.0"/>
      </rPr>
      <t>① フランス</t>
    </r>
    <r>
      <rPr>
        <rFont val="Arial"/>
        <color theme="1"/>
        <sz val="11.0"/>
      </rPr>
      <t>RE2020</t>
    </r>
    <r>
      <rPr>
        <rFont val="Noto Sans CJK SC"/>
        <color theme="1"/>
        <sz val="11.0"/>
      </rPr>
      <t>におけるダイナミック</t>
    </r>
    <r>
      <rPr>
        <rFont val="Arial"/>
        <color theme="1"/>
        <sz val="11.0"/>
      </rPr>
      <t>LCA</t>
    </r>
    <r>
      <rPr>
        <rFont val="Noto Sans CJK SC"/>
        <color theme="1"/>
        <sz val="11.0"/>
      </rPr>
      <t>関連情報の収集・分析</t>
    </r>
  </si>
  <si>
    <r>
      <rPr>
        <rFont val="Arial"/>
        <b/>
        <color theme="1"/>
        <sz val="11.0"/>
      </rPr>
      <t xml:space="preserve">(1) </t>
    </r>
    <r>
      <rPr>
        <rFont val="Noto Sans CJK SC"/>
        <b/>
        <color theme="1"/>
        <sz val="11.0"/>
      </rPr>
      <t>政策及び制度調査</t>
    </r>
  </si>
  <si>
    <t>解体及び再利用での排出扱い</t>
  </si>
  <si>
    <r>
      <rPr>
        <rFont val="Arial"/>
        <color theme="1"/>
        <sz val="9.0"/>
      </rPr>
      <t>AI</t>
    </r>
    <r>
      <rPr>
        <rFont val="Noto Sans CJK SC"/>
        <color theme="1"/>
        <sz val="9.0"/>
      </rPr>
      <t>で規定の翻訳・整理を自動化</t>
    </r>
  </si>
  <si>
    <r>
      <rPr>
        <rFont val="Arial"/>
        <color theme="1"/>
        <sz val="11.0"/>
      </rPr>
      <t>2026</t>
    </r>
    <r>
      <rPr>
        <rFont val="Noto Sans CJK SC"/>
        <color theme="1"/>
        <sz val="11.0"/>
      </rPr>
      <t>年</t>
    </r>
    <r>
      <rPr>
        <rFont val="Arial"/>
        <color theme="1"/>
        <sz val="11.0"/>
      </rPr>
      <t>6</t>
    </r>
    <r>
      <rPr>
        <rFont val="Noto Sans CJK SC"/>
        <color theme="1"/>
        <sz val="11.0"/>
      </rPr>
      <t>月中旬</t>
    </r>
  </si>
  <si>
    <r>
      <rPr>
        <rFont val="Arial"/>
        <color theme="1"/>
        <sz val="11.0"/>
      </rPr>
      <t>2026</t>
    </r>
    <r>
      <rPr>
        <rFont val="Noto Sans CJK SC"/>
        <color theme="1"/>
        <sz val="11.0"/>
      </rPr>
      <t>年</t>
    </r>
    <r>
      <rPr>
        <rFont val="Arial"/>
        <color theme="1"/>
        <sz val="11.0"/>
      </rPr>
      <t>7</t>
    </r>
    <r>
      <rPr>
        <rFont val="Noto Sans CJK SC"/>
        <color theme="1"/>
        <sz val="11.0"/>
      </rPr>
      <t>月下旬</t>
    </r>
  </si>
  <si>
    <r>
      <rPr>
        <rFont val="Arial"/>
        <color theme="1"/>
        <sz val="11.0"/>
      </rPr>
      <t xml:space="preserve">1. </t>
    </r>
    <r>
      <rPr>
        <rFont val="Noto Sans CJK SC"/>
        <color theme="1"/>
        <sz val="11.0"/>
      </rPr>
      <t>木材の長期間利用による炭素貯蔵効果の評価手法の検討</t>
    </r>
  </si>
  <si>
    <r>
      <rPr>
        <rFont val="Arial"/>
        <color theme="1"/>
        <sz val="11.0"/>
      </rPr>
      <t xml:space="preserve">(1) </t>
    </r>
    <r>
      <rPr>
        <rFont val="Noto Sans CJK SC"/>
        <color theme="1"/>
        <sz val="11.0"/>
      </rPr>
      <t>フランスのダイナミック</t>
    </r>
    <r>
      <rPr>
        <rFont val="Arial"/>
        <color theme="1"/>
        <sz val="11.0"/>
      </rPr>
      <t>LCA</t>
    </r>
    <r>
      <rPr>
        <rFont val="Noto Sans CJK SC"/>
        <color theme="1"/>
        <sz val="11.0"/>
      </rPr>
      <t>を含む海外での制度事例や検討内容の収集・分析</t>
    </r>
  </si>
  <si>
    <r>
      <rPr>
        <rFont val="Noto Sans CJK SC"/>
        <color theme="1"/>
        <sz val="11.0"/>
      </rPr>
      <t>① フランス</t>
    </r>
    <r>
      <rPr>
        <rFont val="Arial"/>
        <color theme="1"/>
        <sz val="11.0"/>
      </rPr>
      <t>RE2020</t>
    </r>
    <r>
      <rPr>
        <rFont val="Noto Sans CJK SC"/>
        <color theme="1"/>
        <sz val="11.0"/>
      </rPr>
      <t>におけるダイナミック</t>
    </r>
    <r>
      <rPr>
        <rFont val="Arial"/>
        <color theme="1"/>
        <sz val="11.0"/>
      </rPr>
      <t>LCA</t>
    </r>
    <r>
      <rPr>
        <rFont val="Noto Sans CJK SC"/>
        <color theme="1"/>
        <sz val="11.0"/>
      </rPr>
      <t>関連情報の収集・分析</t>
    </r>
  </si>
  <si>
    <r>
      <rPr>
        <rFont val="Arial"/>
        <b/>
        <color theme="1"/>
        <sz val="11.0"/>
      </rPr>
      <t xml:space="preserve">(2) </t>
    </r>
    <r>
      <rPr>
        <rFont val="Noto Sans CJK SC"/>
        <b/>
        <color theme="1"/>
        <sz val="11.0"/>
      </rPr>
      <t>技術及び手法の調査</t>
    </r>
  </si>
  <si>
    <r>
      <rPr>
        <rFont val="Noto Sans CJK SC"/>
        <color theme="1"/>
        <sz val="11.0"/>
      </rPr>
      <t>ダイナミック</t>
    </r>
    <r>
      <rPr>
        <rFont val="Arial"/>
        <color theme="1"/>
        <sz val="11.0"/>
      </rPr>
      <t>LCA</t>
    </r>
    <r>
      <rPr>
        <rFont val="Noto Sans CJK SC"/>
        <color theme="1"/>
        <sz val="11.0"/>
      </rPr>
      <t>の理論的枠組み</t>
    </r>
  </si>
  <si>
    <r>
      <rPr>
        <rFont val="Noto Sans CJK SC"/>
        <color theme="1"/>
        <sz val="11.0"/>
      </rPr>
      <t>動的</t>
    </r>
    <r>
      <rPr>
        <rFont val="Arial"/>
        <color theme="1"/>
        <sz val="11.0"/>
      </rPr>
      <t>LCA</t>
    </r>
    <r>
      <rPr>
        <rFont val="Noto Sans CJK SC"/>
        <color theme="1"/>
        <sz val="11.0"/>
      </rPr>
      <t>（時間軸評価）導入の基本概念</t>
    </r>
  </si>
  <si>
    <r>
      <rPr>
        <rFont val="Arial"/>
        <color theme="1"/>
        <sz val="9.0"/>
      </rPr>
      <t>AI</t>
    </r>
    <r>
      <rPr>
        <rFont val="Noto Sans CJK SC"/>
        <color theme="1"/>
        <sz val="9.0"/>
      </rPr>
      <t>で概念整理・比較表の初稿生成、人間が専門的精査・修正</t>
    </r>
  </si>
  <si>
    <r>
      <rPr>
        <rFont val="Arial"/>
        <color theme="1"/>
        <sz val="11.0"/>
      </rPr>
      <t>2026</t>
    </r>
    <r>
      <rPr>
        <rFont val="Noto Sans CJK SC"/>
        <color theme="1"/>
        <sz val="11.0"/>
      </rPr>
      <t>年</t>
    </r>
    <r>
      <rPr>
        <rFont val="Arial"/>
        <color theme="1"/>
        <sz val="11.0"/>
      </rPr>
      <t>6</t>
    </r>
    <r>
      <rPr>
        <rFont val="Noto Sans CJK SC"/>
        <color theme="1"/>
        <sz val="11.0"/>
      </rPr>
      <t>月中旬</t>
    </r>
  </si>
  <si>
    <r>
      <rPr>
        <rFont val="Arial"/>
        <color theme="1"/>
        <sz val="11.0"/>
      </rPr>
      <t>2026</t>
    </r>
    <r>
      <rPr>
        <rFont val="Noto Sans CJK SC"/>
        <color theme="1"/>
        <sz val="11.0"/>
      </rPr>
      <t>年</t>
    </r>
    <r>
      <rPr>
        <rFont val="Arial"/>
        <color theme="1"/>
        <sz val="11.0"/>
      </rPr>
      <t>8</t>
    </r>
    <r>
      <rPr>
        <rFont val="Noto Sans CJK SC"/>
        <color theme="1"/>
        <sz val="11.0"/>
      </rPr>
      <t>月上旬</t>
    </r>
  </si>
  <si>
    <t>理論部分は人間の理解が必須</t>
  </si>
  <si>
    <r>
      <rPr>
        <rFont val="Arial"/>
        <color theme="1"/>
        <sz val="11.0"/>
      </rPr>
      <t xml:space="preserve">1. </t>
    </r>
    <r>
      <rPr>
        <rFont val="Noto Sans CJK SC"/>
        <color theme="1"/>
        <sz val="11.0"/>
      </rPr>
      <t>木材の長期間利用による炭素貯蔵効果の評価手法の検討</t>
    </r>
  </si>
  <si>
    <r>
      <rPr>
        <rFont val="Arial"/>
        <color theme="1"/>
        <sz val="11.0"/>
      </rPr>
      <t xml:space="preserve">(1) </t>
    </r>
    <r>
      <rPr>
        <rFont val="Noto Sans CJK SC"/>
        <color theme="1"/>
        <sz val="11.0"/>
      </rPr>
      <t>フランスのダイナミック</t>
    </r>
    <r>
      <rPr>
        <rFont val="Arial"/>
        <color theme="1"/>
        <sz val="11.0"/>
      </rPr>
      <t>LCA</t>
    </r>
    <r>
      <rPr>
        <rFont val="Noto Sans CJK SC"/>
        <color theme="1"/>
        <sz val="11.0"/>
      </rPr>
      <t>を含む海外での制度事例や検討内容の収集・分析</t>
    </r>
  </si>
  <si>
    <r>
      <rPr>
        <rFont val="Noto Sans CJK SC"/>
        <color theme="1"/>
        <sz val="11.0"/>
      </rPr>
      <t>① フランス</t>
    </r>
    <r>
      <rPr>
        <rFont val="Arial"/>
        <color theme="1"/>
        <sz val="11.0"/>
      </rPr>
      <t>RE2020</t>
    </r>
    <r>
      <rPr>
        <rFont val="Noto Sans CJK SC"/>
        <color theme="1"/>
        <sz val="11.0"/>
      </rPr>
      <t>におけるダイナミック</t>
    </r>
    <r>
      <rPr>
        <rFont val="Arial"/>
        <color theme="1"/>
        <sz val="11.0"/>
      </rPr>
      <t>LCA</t>
    </r>
    <r>
      <rPr>
        <rFont val="Noto Sans CJK SC"/>
        <color theme="1"/>
        <sz val="11.0"/>
      </rPr>
      <t>関連情報の収集・分析</t>
    </r>
  </si>
  <si>
    <r>
      <rPr>
        <rFont val="Arial"/>
        <b/>
        <color theme="1"/>
        <sz val="11.0"/>
      </rPr>
      <t xml:space="preserve">(2) </t>
    </r>
    <r>
      <rPr>
        <rFont val="Noto Sans CJK SC"/>
        <b/>
        <color theme="1"/>
        <sz val="11.0"/>
      </rPr>
      <t>技術及び手法の調査</t>
    </r>
  </si>
  <si>
    <r>
      <rPr>
        <rFont val="Noto Sans CJK SC"/>
        <color theme="1"/>
        <sz val="11.0"/>
      </rPr>
      <t>ダイナミック</t>
    </r>
    <r>
      <rPr>
        <rFont val="Arial"/>
        <color theme="1"/>
        <sz val="11.0"/>
      </rPr>
      <t>LCA</t>
    </r>
    <r>
      <rPr>
        <rFont val="Noto Sans CJK SC"/>
        <color theme="1"/>
        <sz val="11.0"/>
      </rPr>
      <t>の理論的枠組み</t>
    </r>
  </si>
  <si>
    <t>評価期間の根拠</t>
  </si>
  <si>
    <r>
      <rPr>
        <rFont val="Arial"/>
        <color theme="1"/>
        <sz val="9.0"/>
      </rPr>
      <t>AI</t>
    </r>
    <r>
      <rPr>
        <rFont val="Noto Sans CJK SC"/>
        <color theme="1"/>
        <sz val="9.0"/>
      </rPr>
      <t>で概念整理・比較表の初稿生成、人間が専門的精査・修正</t>
    </r>
  </si>
  <si>
    <r>
      <rPr>
        <rFont val="Arial"/>
        <color theme="1"/>
        <sz val="11.0"/>
      </rPr>
      <t>2026</t>
    </r>
    <r>
      <rPr>
        <rFont val="Noto Sans CJK SC"/>
        <color theme="1"/>
        <sz val="11.0"/>
      </rPr>
      <t>年</t>
    </r>
    <r>
      <rPr>
        <rFont val="Arial"/>
        <color theme="1"/>
        <sz val="11.0"/>
      </rPr>
      <t>6</t>
    </r>
    <r>
      <rPr>
        <rFont val="Noto Sans CJK SC"/>
        <color theme="1"/>
        <sz val="11.0"/>
      </rPr>
      <t>月中旬</t>
    </r>
  </si>
  <si>
    <r>
      <rPr>
        <rFont val="Arial"/>
        <color theme="1"/>
        <sz val="11.0"/>
      </rPr>
      <t>2026</t>
    </r>
    <r>
      <rPr>
        <rFont val="Noto Sans CJK SC"/>
        <color theme="1"/>
        <sz val="11.0"/>
      </rPr>
      <t>年</t>
    </r>
    <r>
      <rPr>
        <rFont val="Arial"/>
        <color theme="1"/>
        <sz val="11.0"/>
      </rPr>
      <t>8</t>
    </r>
    <r>
      <rPr>
        <rFont val="Noto Sans CJK SC"/>
        <color theme="1"/>
        <sz val="11.0"/>
      </rPr>
      <t>月上旬</t>
    </r>
  </si>
  <si>
    <r>
      <rPr>
        <rFont val="Arial"/>
        <color theme="1"/>
        <sz val="11.0"/>
      </rPr>
      <t xml:space="preserve">1. </t>
    </r>
    <r>
      <rPr>
        <rFont val="Noto Sans CJK SC"/>
        <color theme="1"/>
        <sz val="11.0"/>
      </rPr>
      <t>木材の長期間利用による炭素貯蔵効果の評価手法の検討</t>
    </r>
  </si>
  <si>
    <r>
      <rPr>
        <rFont val="Arial"/>
        <color theme="1"/>
        <sz val="11.0"/>
      </rPr>
      <t xml:space="preserve">(1) </t>
    </r>
    <r>
      <rPr>
        <rFont val="Noto Sans CJK SC"/>
        <color theme="1"/>
        <sz val="11.0"/>
      </rPr>
      <t>フランスのダイナミック</t>
    </r>
    <r>
      <rPr>
        <rFont val="Arial"/>
        <color theme="1"/>
        <sz val="11.0"/>
      </rPr>
      <t>LCA</t>
    </r>
    <r>
      <rPr>
        <rFont val="Noto Sans CJK SC"/>
        <color theme="1"/>
        <sz val="11.0"/>
      </rPr>
      <t>を含む海外での制度事例や検討内容の収集・分析</t>
    </r>
  </si>
  <si>
    <r>
      <rPr>
        <rFont val="Noto Sans CJK SC"/>
        <color theme="1"/>
        <sz val="11.0"/>
      </rPr>
      <t>① フランス</t>
    </r>
    <r>
      <rPr>
        <rFont val="Arial"/>
        <color theme="1"/>
        <sz val="11.0"/>
      </rPr>
      <t>RE2020</t>
    </r>
    <r>
      <rPr>
        <rFont val="Noto Sans CJK SC"/>
        <color theme="1"/>
        <sz val="11.0"/>
      </rPr>
      <t>におけるダイナミック</t>
    </r>
    <r>
      <rPr>
        <rFont val="Arial"/>
        <color theme="1"/>
        <sz val="11.0"/>
      </rPr>
      <t>LCA</t>
    </r>
    <r>
      <rPr>
        <rFont val="Noto Sans CJK SC"/>
        <color theme="1"/>
        <sz val="11.0"/>
      </rPr>
      <t>関連情報の収集・分析</t>
    </r>
  </si>
  <si>
    <r>
      <rPr>
        <rFont val="Arial"/>
        <b/>
        <color theme="1"/>
        <sz val="11.0"/>
      </rPr>
      <t xml:space="preserve">(2) </t>
    </r>
    <r>
      <rPr>
        <rFont val="Noto Sans CJK SC"/>
        <b/>
        <color theme="1"/>
        <sz val="11.0"/>
      </rPr>
      <t>技術及び手法の調査</t>
    </r>
  </si>
  <si>
    <r>
      <rPr>
        <rFont val="Noto Sans CJK SC"/>
        <color theme="1"/>
        <sz val="11.0"/>
      </rPr>
      <t>ダイナミック</t>
    </r>
    <r>
      <rPr>
        <rFont val="Arial"/>
        <color theme="1"/>
        <sz val="11.0"/>
      </rPr>
      <t>LCA</t>
    </r>
    <r>
      <rPr>
        <rFont val="Noto Sans CJK SC"/>
        <color theme="1"/>
        <sz val="11.0"/>
      </rPr>
      <t>の理論的枠組み</t>
    </r>
  </si>
  <si>
    <r>
      <rPr>
        <rFont val="Noto Sans CJK SC"/>
        <color theme="1"/>
        <sz val="11.0"/>
      </rPr>
      <t>従来型静的</t>
    </r>
    <r>
      <rPr>
        <rFont val="Arial"/>
        <color theme="1"/>
        <sz val="11.0"/>
      </rPr>
      <t>LCA</t>
    </r>
    <r>
      <rPr>
        <rFont val="Noto Sans CJK SC"/>
        <color theme="1"/>
        <sz val="11.0"/>
      </rPr>
      <t>（</t>
    </r>
    <r>
      <rPr>
        <rFont val="Arial"/>
        <color theme="1"/>
        <sz val="11.0"/>
      </rPr>
      <t>GWP100</t>
    </r>
    <r>
      <rPr>
        <rFont val="Noto Sans CJK SC"/>
        <color theme="1"/>
        <sz val="11.0"/>
      </rPr>
      <t>）との差異</t>
    </r>
  </si>
  <si>
    <r>
      <rPr>
        <rFont val="Arial"/>
        <color theme="1"/>
        <sz val="9.0"/>
      </rPr>
      <t>AI</t>
    </r>
    <r>
      <rPr>
        <rFont val="Noto Sans CJK SC"/>
        <color theme="1"/>
        <sz val="9.0"/>
      </rPr>
      <t>で概念整理・比較表の初稿生成、人間が専門的精査・修正</t>
    </r>
  </si>
  <si>
    <r>
      <rPr>
        <rFont val="Arial"/>
        <color theme="1"/>
        <sz val="11.0"/>
      </rPr>
      <t>2026</t>
    </r>
    <r>
      <rPr>
        <rFont val="Noto Sans CJK SC"/>
        <color theme="1"/>
        <sz val="11.0"/>
      </rPr>
      <t>年</t>
    </r>
    <r>
      <rPr>
        <rFont val="Arial"/>
        <color theme="1"/>
        <sz val="11.0"/>
      </rPr>
      <t>6</t>
    </r>
    <r>
      <rPr>
        <rFont val="Noto Sans CJK SC"/>
        <color theme="1"/>
        <sz val="11.0"/>
      </rPr>
      <t>月中旬</t>
    </r>
  </si>
  <si>
    <r>
      <rPr>
        <rFont val="Arial"/>
        <color theme="1"/>
        <sz val="11.0"/>
      </rPr>
      <t>2026</t>
    </r>
    <r>
      <rPr>
        <rFont val="Noto Sans CJK SC"/>
        <color theme="1"/>
        <sz val="11.0"/>
      </rPr>
      <t>年</t>
    </r>
    <r>
      <rPr>
        <rFont val="Arial"/>
        <color theme="1"/>
        <sz val="11.0"/>
      </rPr>
      <t>8</t>
    </r>
    <r>
      <rPr>
        <rFont val="Noto Sans CJK SC"/>
        <color theme="1"/>
        <sz val="11.0"/>
      </rPr>
      <t>月上旬</t>
    </r>
  </si>
  <si>
    <r>
      <rPr>
        <rFont val="Noto Sans CJK SC"/>
        <i/>
        <color rgb="FF595959"/>
        <sz val="9.0"/>
      </rPr>
      <t>比較表を</t>
    </r>
    <r>
      <rPr>
        <rFont val="Arial"/>
        <i/>
        <color rgb="FF595959"/>
        <sz val="9.0"/>
      </rPr>
      <t>AI</t>
    </r>
    <r>
      <rPr>
        <rFont val="Noto Sans CJK SC"/>
        <i/>
        <color rgb="FF595959"/>
        <sz val="9.0"/>
      </rPr>
      <t>で初稿生成</t>
    </r>
  </si>
  <si>
    <r>
      <rPr>
        <rFont val="Arial"/>
        <color theme="1"/>
        <sz val="11.0"/>
      </rPr>
      <t xml:space="preserve">1. </t>
    </r>
    <r>
      <rPr>
        <rFont val="Noto Sans CJK SC"/>
        <color theme="1"/>
        <sz val="11.0"/>
      </rPr>
      <t>木材の長期間利用による炭素貯蔵効果の評価手法の検討</t>
    </r>
  </si>
  <si>
    <r>
      <rPr>
        <rFont val="Arial"/>
        <color theme="1"/>
        <sz val="11.0"/>
      </rPr>
      <t xml:space="preserve">(1) </t>
    </r>
    <r>
      <rPr>
        <rFont val="Noto Sans CJK SC"/>
        <color theme="1"/>
        <sz val="11.0"/>
      </rPr>
      <t>フランスのダイナミック</t>
    </r>
    <r>
      <rPr>
        <rFont val="Arial"/>
        <color theme="1"/>
        <sz val="11.0"/>
      </rPr>
      <t>LCA</t>
    </r>
    <r>
      <rPr>
        <rFont val="Noto Sans CJK SC"/>
        <color theme="1"/>
        <sz val="11.0"/>
      </rPr>
      <t>を含む海外での制度事例や検討内容の収集・分析</t>
    </r>
  </si>
  <si>
    <r>
      <rPr>
        <rFont val="Noto Sans CJK SC"/>
        <color theme="1"/>
        <sz val="11.0"/>
      </rPr>
      <t>① フランス</t>
    </r>
    <r>
      <rPr>
        <rFont val="Arial"/>
        <color theme="1"/>
        <sz val="11.0"/>
      </rPr>
      <t>RE2020</t>
    </r>
    <r>
      <rPr>
        <rFont val="Noto Sans CJK SC"/>
        <color theme="1"/>
        <sz val="11.0"/>
      </rPr>
      <t>におけるダイナミック</t>
    </r>
    <r>
      <rPr>
        <rFont val="Arial"/>
        <color theme="1"/>
        <sz val="11.0"/>
      </rPr>
      <t>LCA</t>
    </r>
    <r>
      <rPr>
        <rFont val="Noto Sans CJK SC"/>
        <color theme="1"/>
        <sz val="11.0"/>
      </rPr>
      <t>関連情報の収集・分析</t>
    </r>
  </si>
  <si>
    <r>
      <rPr>
        <rFont val="Arial"/>
        <b/>
        <color theme="1"/>
        <sz val="11.0"/>
      </rPr>
      <t xml:space="preserve">(2) </t>
    </r>
    <r>
      <rPr>
        <rFont val="Noto Sans CJK SC"/>
        <b/>
        <color theme="1"/>
        <sz val="11.0"/>
      </rPr>
      <t>技術及び手法の調査</t>
    </r>
  </si>
  <si>
    <t>評価指標及び算定方法</t>
  </si>
  <si>
    <t>時間軸評価の処理方法、パラメータ根拠</t>
  </si>
  <si>
    <r>
      <rPr>
        <rFont val="Arial"/>
        <color theme="1"/>
        <sz val="9.0"/>
      </rPr>
      <t>AI</t>
    </r>
    <r>
      <rPr>
        <rFont val="Noto Sans CJK SC"/>
        <color theme="1"/>
        <sz val="9.0"/>
      </rPr>
      <t>で概念整理・比較表の初稿生成、人間が専門的精査・修正</t>
    </r>
  </si>
  <si>
    <r>
      <rPr>
        <rFont val="Arial"/>
        <color theme="1"/>
        <sz val="11.0"/>
      </rPr>
      <t>2026</t>
    </r>
    <r>
      <rPr>
        <rFont val="Noto Sans CJK SC"/>
        <color theme="1"/>
        <sz val="11.0"/>
      </rPr>
      <t>年</t>
    </r>
    <r>
      <rPr>
        <rFont val="Arial"/>
        <color theme="1"/>
        <sz val="11.0"/>
      </rPr>
      <t>6</t>
    </r>
    <r>
      <rPr>
        <rFont val="Noto Sans CJK SC"/>
        <color theme="1"/>
        <sz val="11.0"/>
      </rPr>
      <t>月中旬</t>
    </r>
  </si>
  <si>
    <r>
      <rPr>
        <rFont val="Arial"/>
        <color theme="1"/>
        <sz val="11.0"/>
      </rPr>
      <t>2026</t>
    </r>
    <r>
      <rPr>
        <rFont val="Noto Sans CJK SC"/>
        <color theme="1"/>
        <sz val="11.0"/>
      </rPr>
      <t>年</t>
    </r>
    <r>
      <rPr>
        <rFont val="Arial"/>
        <color theme="1"/>
        <sz val="11.0"/>
      </rPr>
      <t>8</t>
    </r>
    <r>
      <rPr>
        <rFont val="Noto Sans CJK SC"/>
        <color theme="1"/>
        <sz val="11.0"/>
      </rPr>
      <t>月上旬</t>
    </r>
  </si>
  <si>
    <t>数式・パラメータの精査が必要</t>
  </si>
  <si>
    <r>
      <rPr>
        <rFont val="Arial"/>
        <color theme="1"/>
        <sz val="11.0"/>
      </rPr>
      <t xml:space="preserve">1. </t>
    </r>
    <r>
      <rPr>
        <rFont val="Noto Sans CJK SC"/>
        <color theme="1"/>
        <sz val="11.0"/>
      </rPr>
      <t>木材の長期間利用による炭素貯蔵効果の評価手法の検討</t>
    </r>
  </si>
  <si>
    <r>
      <rPr>
        <rFont val="Arial"/>
        <color theme="1"/>
        <sz val="11.0"/>
      </rPr>
      <t xml:space="preserve">(1) </t>
    </r>
    <r>
      <rPr>
        <rFont val="Noto Sans CJK SC"/>
        <color theme="1"/>
        <sz val="11.0"/>
      </rPr>
      <t>フランスのダイナミック</t>
    </r>
    <r>
      <rPr>
        <rFont val="Arial"/>
        <color theme="1"/>
        <sz val="11.0"/>
      </rPr>
      <t>LCA</t>
    </r>
    <r>
      <rPr>
        <rFont val="Noto Sans CJK SC"/>
        <color theme="1"/>
        <sz val="11.0"/>
      </rPr>
      <t>を含む海外での制度事例や検討内容の収集・分析</t>
    </r>
  </si>
  <si>
    <r>
      <rPr>
        <rFont val="Noto Sans CJK SC"/>
        <color theme="1"/>
        <sz val="11.0"/>
      </rPr>
      <t>① フランス</t>
    </r>
    <r>
      <rPr>
        <rFont val="Arial"/>
        <color theme="1"/>
        <sz val="11.0"/>
      </rPr>
      <t>RE2020</t>
    </r>
    <r>
      <rPr>
        <rFont val="Noto Sans CJK SC"/>
        <color theme="1"/>
        <sz val="11.0"/>
      </rPr>
      <t>におけるダイナミック</t>
    </r>
    <r>
      <rPr>
        <rFont val="Arial"/>
        <color theme="1"/>
        <sz val="11.0"/>
      </rPr>
      <t>LCA</t>
    </r>
    <r>
      <rPr>
        <rFont val="Noto Sans CJK SC"/>
        <color theme="1"/>
        <sz val="11.0"/>
      </rPr>
      <t>関連情報の収集・分析</t>
    </r>
  </si>
  <si>
    <r>
      <rPr>
        <rFont val="Arial"/>
        <b/>
        <color theme="1"/>
        <sz val="11.0"/>
      </rPr>
      <t xml:space="preserve">(2) </t>
    </r>
    <r>
      <rPr>
        <rFont val="Noto Sans CJK SC"/>
        <b/>
        <color theme="1"/>
        <sz val="11.0"/>
      </rPr>
      <t>技術及び手法の調査</t>
    </r>
  </si>
  <si>
    <t>炭素循環（吸収・固定・放出）の扱い</t>
  </si>
  <si>
    <r>
      <rPr>
        <rFont val="Arial"/>
        <color theme="1"/>
        <sz val="9.0"/>
      </rPr>
      <t>AI</t>
    </r>
    <r>
      <rPr>
        <rFont val="Noto Sans CJK SC"/>
        <color theme="1"/>
        <sz val="9.0"/>
      </rPr>
      <t>で概念整理・比較表の初稿生成、人間が専門的精査・修正</t>
    </r>
  </si>
  <si>
    <r>
      <rPr>
        <rFont val="Arial"/>
        <color theme="1"/>
        <sz val="11.0"/>
      </rPr>
      <t>2026</t>
    </r>
    <r>
      <rPr>
        <rFont val="Noto Sans CJK SC"/>
        <color theme="1"/>
        <sz val="11.0"/>
      </rPr>
      <t>年</t>
    </r>
    <r>
      <rPr>
        <rFont val="Arial"/>
        <color theme="1"/>
        <sz val="11.0"/>
      </rPr>
      <t>7</t>
    </r>
    <r>
      <rPr>
        <rFont val="Noto Sans CJK SC"/>
        <color theme="1"/>
        <sz val="11.0"/>
      </rPr>
      <t>月下旬</t>
    </r>
  </si>
  <si>
    <r>
      <rPr>
        <rFont val="Arial"/>
        <color theme="1"/>
        <sz val="11.0"/>
      </rPr>
      <t>2026</t>
    </r>
    <r>
      <rPr>
        <rFont val="Noto Sans CJK SC"/>
        <color theme="1"/>
        <sz val="11.0"/>
      </rPr>
      <t>年</t>
    </r>
    <r>
      <rPr>
        <rFont val="Arial"/>
        <color theme="1"/>
        <sz val="11.0"/>
      </rPr>
      <t>9</t>
    </r>
    <r>
      <rPr>
        <rFont val="Noto Sans CJK SC"/>
        <color theme="1"/>
        <sz val="11.0"/>
      </rPr>
      <t>月上旬</t>
    </r>
  </si>
  <si>
    <r>
      <rPr>
        <rFont val="Arial"/>
        <color theme="1"/>
        <sz val="11.0"/>
      </rPr>
      <t xml:space="preserve">1. </t>
    </r>
    <r>
      <rPr>
        <rFont val="Noto Sans CJK SC"/>
        <color theme="1"/>
        <sz val="11.0"/>
      </rPr>
      <t>木材の長期間利用による炭素貯蔵効果の評価手法の検討</t>
    </r>
  </si>
  <si>
    <r>
      <rPr>
        <rFont val="Arial"/>
        <color theme="1"/>
        <sz val="11.0"/>
      </rPr>
      <t xml:space="preserve">(1) </t>
    </r>
    <r>
      <rPr>
        <rFont val="Noto Sans CJK SC"/>
        <color theme="1"/>
        <sz val="11.0"/>
      </rPr>
      <t>フランスのダイナミック</t>
    </r>
    <r>
      <rPr>
        <rFont val="Arial"/>
        <color theme="1"/>
        <sz val="11.0"/>
      </rPr>
      <t>LCA</t>
    </r>
    <r>
      <rPr>
        <rFont val="Noto Sans CJK SC"/>
        <color theme="1"/>
        <sz val="11.0"/>
      </rPr>
      <t>を含む海外での制度事例や検討内容の収集・分析</t>
    </r>
  </si>
  <si>
    <r>
      <rPr>
        <rFont val="Noto Sans CJK SC"/>
        <color theme="1"/>
        <sz val="11.0"/>
      </rPr>
      <t>① フランス</t>
    </r>
    <r>
      <rPr>
        <rFont val="Arial"/>
        <color theme="1"/>
        <sz val="11.0"/>
      </rPr>
      <t>RE2020</t>
    </r>
    <r>
      <rPr>
        <rFont val="Noto Sans CJK SC"/>
        <color theme="1"/>
        <sz val="11.0"/>
      </rPr>
      <t>におけるダイナミック</t>
    </r>
    <r>
      <rPr>
        <rFont val="Arial"/>
        <color theme="1"/>
        <sz val="11.0"/>
      </rPr>
      <t>LCA</t>
    </r>
    <r>
      <rPr>
        <rFont val="Noto Sans CJK SC"/>
        <color theme="1"/>
        <sz val="11.0"/>
      </rPr>
      <t>関連情報の収集・分析</t>
    </r>
  </si>
  <si>
    <r>
      <rPr>
        <rFont val="Arial"/>
        <b/>
        <color theme="1"/>
        <sz val="11.0"/>
      </rPr>
      <t xml:space="preserve">(2) </t>
    </r>
    <r>
      <rPr>
        <rFont val="Noto Sans CJK SC"/>
        <b/>
        <color theme="1"/>
        <sz val="11.0"/>
      </rPr>
      <t>技術及び手法の調査</t>
    </r>
  </si>
  <si>
    <t>放射強制力の考え方との関係性</t>
  </si>
  <si>
    <r>
      <rPr>
        <rFont val="Arial"/>
        <color theme="1"/>
        <sz val="9.0"/>
      </rPr>
      <t>AI</t>
    </r>
    <r>
      <rPr>
        <rFont val="Noto Sans CJK SC"/>
        <color theme="1"/>
        <sz val="9.0"/>
      </rPr>
      <t>で概念整理・比較表の初稿生成、人間が専門的精査・修正</t>
    </r>
  </si>
  <si>
    <r>
      <rPr>
        <rFont val="Arial"/>
        <color theme="1"/>
        <sz val="11.0"/>
      </rPr>
      <t>2026</t>
    </r>
    <r>
      <rPr>
        <rFont val="Noto Sans CJK SC"/>
        <color theme="1"/>
        <sz val="11.0"/>
      </rPr>
      <t>年</t>
    </r>
    <r>
      <rPr>
        <rFont val="Arial"/>
        <color theme="1"/>
        <sz val="11.0"/>
      </rPr>
      <t>7</t>
    </r>
    <r>
      <rPr>
        <rFont val="Noto Sans CJK SC"/>
        <color theme="1"/>
        <sz val="11.0"/>
      </rPr>
      <t>月下旬</t>
    </r>
  </si>
  <si>
    <r>
      <rPr>
        <rFont val="Arial"/>
        <color theme="1"/>
        <sz val="11.0"/>
      </rPr>
      <t>2026</t>
    </r>
    <r>
      <rPr>
        <rFont val="Noto Sans CJK SC"/>
        <color theme="1"/>
        <sz val="11.0"/>
      </rPr>
      <t>年</t>
    </r>
    <r>
      <rPr>
        <rFont val="Arial"/>
        <color theme="1"/>
        <sz val="11.0"/>
      </rPr>
      <t>9</t>
    </r>
    <r>
      <rPr>
        <rFont val="Noto Sans CJK SC"/>
        <color theme="1"/>
        <sz val="11.0"/>
      </rPr>
      <t>月上旬</t>
    </r>
  </si>
  <si>
    <r>
      <rPr>
        <rFont val="Arial"/>
        <color theme="1"/>
        <sz val="11.0"/>
      </rPr>
      <t xml:space="preserve">1. </t>
    </r>
    <r>
      <rPr>
        <rFont val="Noto Sans CJK SC"/>
        <color theme="1"/>
        <sz val="11.0"/>
      </rPr>
      <t>木材の長期間利用による炭素貯蔵効果の評価手法の検討</t>
    </r>
  </si>
  <si>
    <r>
      <rPr>
        <rFont val="Arial"/>
        <color theme="1"/>
        <sz val="11.0"/>
      </rPr>
      <t xml:space="preserve">(1) </t>
    </r>
    <r>
      <rPr>
        <rFont val="Noto Sans CJK SC"/>
        <color theme="1"/>
        <sz val="11.0"/>
      </rPr>
      <t>フランスのダイナミック</t>
    </r>
    <r>
      <rPr>
        <rFont val="Arial"/>
        <color theme="1"/>
        <sz val="11.0"/>
      </rPr>
      <t>LCA</t>
    </r>
    <r>
      <rPr>
        <rFont val="Noto Sans CJK SC"/>
        <color theme="1"/>
        <sz val="11.0"/>
      </rPr>
      <t>を含む海外での制度事例や検討内容の収集・分析</t>
    </r>
  </si>
  <si>
    <r>
      <rPr>
        <rFont val="Noto Sans CJK SC"/>
        <color theme="1"/>
        <sz val="11.0"/>
      </rPr>
      <t>① フランス</t>
    </r>
    <r>
      <rPr>
        <rFont val="Arial"/>
        <color theme="1"/>
        <sz val="11.0"/>
      </rPr>
      <t>RE2020</t>
    </r>
    <r>
      <rPr>
        <rFont val="Noto Sans CJK SC"/>
        <color theme="1"/>
        <sz val="11.0"/>
      </rPr>
      <t>におけるダイナミック</t>
    </r>
    <r>
      <rPr>
        <rFont val="Arial"/>
        <color theme="1"/>
        <sz val="11.0"/>
      </rPr>
      <t>LCA</t>
    </r>
    <r>
      <rPr>
        <rFont val="Noto Sans CJK SC"/>
        <color theme="1"/>
        <sz val="11.0"/>
      </rPr>
      <t>関連情報の収集・分析</t>
    </r>
  </si>
  <si>
    <r>
      <rPr>
        <rFont val="Arial"/>
        <b/>
        <color theme="1"/>
        <sz val="11.0"/>
      </rPr>
      <t xml:space="preserve">(2) </t>
    </r>
    <r>
      <rPr>
        <rFont val="Noto Sans CJK SC"/>
        <b/>
        <color theme="1"/>
        <sz val="11.0"/>
      </rPr>
      <t>技術及び手法の調査</t>
    </r>
  </si>
  <si>
    <r>
      <rPr>
        <rFont val="Noto Sans CJK SC"/>
        <color theme="1"/>
        <sz val="11.0"/>
      </rPr>
      <t>建築物</t>
    </r>
    <r>
      <rPr>
        <rFont val="Arial"/>
        <color theme="1"/>
        <sz val="11.0"/>
      </rPr>
      <t>LCA</t>
    </r>
    <r>
      <rPr>
        <rFont val="Noto Sans CJK SC"/>
        <color theme="1"/>
        <sz val="11.0"/>
      </rPr>
      <t>算定における位置付け</t>
    </r>
  </si>
  <si>
    <t>算定環境（マニュアル、ツール、人材育成）の状況</t>
  </si>
  <si>
    <r>
      <rPr>
        <rFont val="Arial"/>
        <color theme="1"/>
        <sz val="9.0"/>
      </rPr>
      <t>AI</t>
    </r>
    <r>
      <rPr>
        <rFont val="Noto Sans CJK SC"/>
        <color theme="1"/>
        <sz val="9.0"/>
      </rPr>
      <t>で概念整理・比較表の初稿生成、人間が専門的精査・修正</t>
    </r>
  </si>
  <si>
    <r>
      <rPr>
        <rFont val="Arial"/>
        <color theme="1"/>
        <sz val="11.0"/>
      </rPr>
      <t>2026</t>
    </r>
    <r>
      <rPr>
        <rFont val="Noto Sans CJK SC"/>
        <color theme="1"/>
        <sz val="11.0"/>
      </rPr>
      <t>年</t>
    </r>
    <r>
      <rPr>
        <rFont val="Arial"/>
        <color theme="1"/>
        <sz val="11.0"/>
      </rPr>
      <t>7</t>
    </r>
    <r>
      <rPr>
        <rFont val="Noto Sans CJK SC"/>
        <color theme="1"/>
        <sz val="11.0"/>
      </rPr>
      <t>月下旬</t>
    </r>
  </si>
  <si>
    <r>
      <rPr>
        <rFont val="Arial"/>
        <color theme="1"/>
        <sz val="11.0"/>
      </rPr>
      <t>2026</t>
    </r>
    <r>
      <rPr>
        <rFont val="Noto Sans CJK SC"/>
        <color theme="1"/>
        <sz val="11.0"/>
      </rPr>
      <t>年</t>
    </r>
    <r>
      <rPr>
        <rFont val="Arial"/>
        <color theme="1"/>
        <sz val="11.0"/>
      </rPr>
      <t>9</t>
    </r>
    <r>
      <rPr>
        <rFont val="Noto Sans CJK SC"/>
        <color theme="1"/>
        <sz val="11.0"/>
      </rPr>
      <t>月上旬</t>
    </r>
  </si>
  <si>
    <r>
      <rPr>
        <rFont val="Arial"/>
        <color theme="1"/>
        <sz val="11.0"/>
      </rPr>
      <t xml:space="preserve">1. </t>
    </r>
    <r>
      <rPr>
        <rFont val="Noto Sans CJK SC"/>
        <color theme="1"/>
        <sz val="11.0"/>
      </rPr>
      <t>木材の長期間利用による炭素貯蔵効果の評価手法の検討</t>
    </r>
  </si>
  <si>
    <r>
      <rPr>
        <rFont val="Arial"/>
        <color theme="1"/>
        <sz val="11.0"/>
      </rPr>
      <t xml:space="preserve">(1) </t>
    </r>
    <r>
      <rPr>
        <rFont val="Noto Sans CJK SC"/>
        <color theme="1"/>
        <sz val="11.0"/>
      </rPr>
      <t>フランスのダイナミック</t>
    </r>
    <r>
      <rPr>
        <rFont val="Arial"/>
        <color theme="1"/>
        <sz val="11.0"/>
      </rPr>
      <t>LCA</t>
    </r>
    <r>
      <rPr>
        <rFont val="Noto Sans CJK SC"/>
        <color theme="1"/>
        <sz val="11.0"/>
      </rPr>
      <t>を含む海外での制度事例や検討内容の収集・分析</t>
    </r>
  </si>
  <si>
    <r>
      <rPr>
        <rFont val="Noto Sans CJK SC"/>
        <color theme="1"/>
        <sz val="11.0"/>
      </rPr>
      <t>① フランス</t>
    </r>
    <r>
      <rPr>
        <rFont val="Arial"/>
        <color theme="1"/>
        <sz val="11.0"/>
      </rPr>
      <t>RE2020</t>
    </r>
    <r>
      <rPr>
        <rFont val="Noto Sans CJK SC"/>
        <color theme="1"/>
        <sz val="11.0"/>
      </rPr>
      <t>におけるダイナミック</t>
    </r>
    <r>
      <rPr>
        <rFont val="Arial"/>
        <color theme="1"/>
        <sz val="11.0"/>
      </rPr>
      <t>LCA</t>
    </r>
    <r>
      <rPr>
        <rFont val="Noto Sans CJK SC"/>
        <color theme="1"/>
        <sz val="11.0"/>
      </rPr>
      <t>関連情報の収集・分析</t>
    </r>
  </si>
  <si>
    <r>
      <rPr>
        <rFont val="Arial"/>
        <b/>
        <color theme="1"/>
        <sz val="11.0"/>
      </rPr>
      <t xml:space="preserve">(2) </t>
    </r>
    <r>
      <rPr>
        <rFont val="Noto Sans CJK SC"/>
        <b/>
        <color theme="1"/>
        <sz val="11.0"/>
      </rPr>
      <t>技術及び手法の調査</t>
    </r>
  </si>
  <si>
    <r>
      <rPr>
        <rFont val="Noto Sans CJK SC"/>
        <color theme="1"/>
        <sz val="11.0"/>
      </rPr>
      <t>建築物</t>
    </r>
    <r>
      <rPr>
        <rFont val="Arial"/>
        <color theme="1"/>
        <sz val="11.0"/>
      </rPr>
      <t>LCA</t>
    </r>
    <r>
      <rPr>
        <rFont val="Noto Sans CJK SC"/>
        <color theme="1"/>
        <sz val="11.0"/>
      </rPr>
      <t>算定における位置付け</t>
    </r>
  </si>
  <si>
    <r>
      <rPr>
        <rFont val="Noto Sans CJK SC"/>
        <color theme="1"/>
        <sz val="11.0"/>
      </rPr>
      <t>静的</t>
    </r>
    <r>
      <rPr>
        <rFont val="Arial"/>
        <color theme="1"/>
        <sz val="11.0"/>
      </rPr>
      <t>LCA</t>
    </r>
    <r>
      <rPr>
        <rFont val="Noto Sans CJK SC"/>
        <color theme="1"/>
        <sz val="11.0"/>
      </rPr>
      <t>評価との関係性</t>
    </r>
  </si>
  <si>
    <r>
      <rPr>
        <rFont val="Arial"/>
        <color theme="1"/>
        <sz val="9.0"/>
      </rPr>
      <t>AI</t>
    </r>
    <r>
      <rPr>
        <rFont val="Noto Sans CJK SC"/>
        <color theme="1"/>
        <sz val="9.0"/>
      </rPr>
      <t>で概念整理・比較表の初稿生成、人間が専門的精査・修正</t>
    </r>
  </si>
  <si>
    <r>
      <rPr>
        <rFont val="Arial"/>
        <color theme="1"/>
        <sz val="11.0"/>
      </rPr>
      <t>2026</t>
    </r>
    <r>
      <rPr>
        <rFont val="Noto Sans CJK SC"/>
        <color theme="1"/>
        <sz val="11.0"/>
      </rPr>
      <t>年</t>
    </r>
    <r>
      <rPr>
        <rFont val="Arial"/>
        <color theme="1"/>
        <sz val="11.0"/>
      </rPr>
      <t>7</t>
    </r>
    <r>
      <rPr>
        <rFont val="Noto Sans CJK SC"/>
        <color theme="1"/>
        <sz val="11.0"/>
      </rPr>
      <t>月下旬</t>
    </r>
  </si>
  <si>
    <r>
      <rPr>
        <rFont val="Arial"/>
        <color theme="1"/>
        <sz val="11.0"/>
      </rPr>
      <t>2026</t>
    </r>
    <r>
      <rPr>
        <rFont val="Noto Sans CJK SC"/>
        <color theme="1"/>
        <sz val="11.0"/>
      </rPr>
      <t>年</t>
    </r>
    <r>
      <rPr>
        <rFont val="Arial"/>
        <color theme="1"/>
        <sz val="11.0"/>
      </rPr>
      <t>9</t>
    </r>
    <r>
      <rPr>
        <rFont val="Noto Sans CJK SC"/>
        <color theme="1"/>
        <sz val="11.0"/>
      </rPr>
      <t>月上旬</t>
    </r>
  </si>
  <si>
    <r>
      <rPr>
        <rFont val="Arial"/>
        <color theme="1"/>
        <sz val="11.0"/>
      </rPr>
      <t xml:space="preserve">1. </t>
    </r>
    <r>
      <rPr>
        <rFont val="Noto Sans CJK SC"/>
        <color theme="1"/>
        <sz val="11.0"/>
      </rPr>
      <t>木材の長期間利用による炭素貯蔵効果の評価手法の検討</t>
    </r>
  </si>
  <si>
    <r>
      <rPr>
        <rFont val="Arial"/>
        <color theme="1"/>
        <sz val="11.0"/>
      </rPr>
      <t xml:space="preserve">(1) </t>
    </r>
    <r>
      <rPr>
        <rFont val="Noto Sans CJK SC"/>
        <color theme="1"/>
        <sz val="11.0"/>
      </rPr>
      <t>フランスのダイナミック</t>
    </r>
    <r>
      <rPr>
        <rFont val="Arial"/>
        <color theme="1"/>
        <sz val="11.0"/>
      </rPr>
      <t>LCA</t>
    </r>
    <r>
      <rPr>
        <rFont val="Noto Sans CJK SC"/>
        <color theme="1"/>
        <sz val="11.0"/>
      </rPr>
      <t>を含む海外での制度事例や検討内容の収集・分析</t>
    </r>
  </si>
  <si>
    <r>
      <rPr>
        <rFont val="Noto Sans CJK SC"/>
        <color theme="1"/>
        <sz val="11.0"/>
      </rPr>
      <t>① フランス</t>
    </r>
    <r>
      <rPr>
        <rFont val="Arial"/>
        <color theme="1"/>
        <sz val="11.0"/>
      </rPr>
      <t>RE2020</t>
    </r>
    <r>
      <rPr>
        <rFont val="Noto Sans CJK SC"/>
        <color theme="1"/>
        <sz val="11.0"/>
      </rPr>
      <t>におけるダイナミック</t>
    </r>
    <r>
      <rPr>
        <rFont val="Arial"/>
        <color theme="1"/>
        <sz val="11.0"/>
      </rPr>
      <t>LCA</t>
    </r>
    <r>
      <rPr>
        <rFont val="Noto Sans CJK SC"/>
        <color theme="1"/>
        <sz val="11.0"/>
      </rPr>
      <t>関連情報の収集・分析</t>
    </r>
  </si>
  <si>
    <r>
      <rPr>
        <rFont val="Arial"/>
        <b/>
        <color theme="1"/>
        <sz val="11.0"/>
      </rPr>
      <t xml:space="preserve">(2) </t>
    </r>
    <r>
      <rPr>
        <rFont val="Noto Sans CJK SC"/>
        <b/>
        <color theme="1"/>
        <sz val="11.0"/>
      </rPr>
      <t>技術及び手法の調査</t>
    </r>
  </si>
  <si>
    <r>
      <rPr>
        <rFont val="Noto Sans CJK SC"/>
        <color theme="1"/>
        <sz val="11.0"/>
      </rPr>
      <t>建築物</t>
    </r>
    <r>
      <rPr>
        <rFont val="Arial"/>
        <color theme="1"/>
        <sz val="11.0"/>
      </rPr>
      <t>LCA</t>
    </r>
    <r>
      <rPr>
        <rFont val="Noto Sans CJK SC"/>
        <color theme="1"/>
        <sz val="11.0"/>
      </rPr>
      <t>算定における位置付け</t>
    </r>
  </si>
  <si>
    <t>評価結果の利用方法、表示方法</t>
  </si>
  <si>
    <r>
      <rPr>
        <rFont val="Arial"/>
        <color theme="1"/>
        <sz val="9.0"/>
      </rPr>
      <t>Claude/ChatGPT</t>
    </r>
    <r>
      <rPr>
        <rFont val="Noto Sans CJK SC"/>
        <color theme="1"/>
        <sz val="9.0"/>
      </rPr>
      <t>でフランス語文献の翻訳・要約・論点抽出を一次処理、</t>
    </r>
    <r>
      <rPr>
        <rFont val="Arial"/>
        <color theme="1"/>
        <sz val="9.0"/>
      </rPr>
      <t>DeepL</t>
    </r>
    <r>
      <rPr>
        <rFont val="Noto Sans CJK SC"/>
        <color theme="1"/>
        <sz val="9.0"/>
      </rPr>
      <t>で補助翻訳、人間が検証</t>
    </r>
  </si>
  <si>
    <r>
      <rPr>
        <rFont val="Arial"/>
        <color theme="1"/>
        <sz val="11.0"/>
      </rPr>
      <t>2026</t>
    </r>
    <r>
      <rPr>
        <rFont val="Noto Sans CJK SC"/>
        <color theme="1"/>
        <sz val="11.0"/>
      </rPr>
      <t>年</t>
    </r>
    <r>
      <rPr>
        <rFont val="Arial"/>
        <color theme="1"/>
        <sz val="11.0"/>
      </rPr>
      <t>7</t>
    </r>
    <r>
      <rPr>
        <rFont val="Noto Sans CJK SC"/>
        <color theme="1"/>
        <sz val="11.0"/>
      </rPr>
      <t>月下旬</t>
    </r>
  </si>
  <si>
    <r>
      <rPr>
        <rFont val="Arial"/>
        <color theme="1"/>
        <sz val="11.0"/>
      </rPr>
      <t>2026</t>
    </r>
    <r>
      <rPr>
        <rFont val="Noto Sans CJK SC"/>
        <color theme="1"/>
        <sz val="11.0"/>
      </rPr>
      <t>年</t>
    </r>
    <r>
      <rPr>
        <rFont val="Arial"/>
        <color theme="1"/>
        <sz val="11.0"/>
      </rPr>
      <t>9</t>
    </r>
    <r>
      <rPr>
        <rFont val="Noto Sans CJK SC"/>
        <color theme="1"/>
        <sz val="11.0"/>
      </rPr>
      <t>月上旬</t>
    </r>
  </si>
  <si>
    <r>
      <rPr>
        <rFont val="Arial"/>
        <color theme="1"/>
        <sz val="11.0"/>
      </rPr>
      <t xml:space="preserve">1. </t>
    </r>
    <r>
      <rPr>
        <rFont val="Noto Sans CJK SC"/>
        <color theme="1"/>
        <sz val="11.0"/>
      </rPr>
      <t>木材の長期間利用による炭素貯蔵効果の評価手法の検討</t>
    </r>
  </si>
  <si>
    <r>
      <rPr>
        <rFont val="Arial"/>
        <color theme="1"/>
        <sz val="11.0"/>
      </rPr>
      <t xml:space="preserve">(1) </t>
    </r>
    <r>
      <rPr>
        <rFont val="Noto Sans CJK SC"/>
        <color theme="1"/>
        <sz val="11.0"/>
      </rPr>
      <t>フランスのダイナミック</t>
    </r>
    <r>
      <rPr>
        <rFont val="Arial"/>
        <color theme="1"/>
        <sz val="11.0"/>
      </rPr>
      <t>LCA</t>
    </r>
    <r>
      <rPr>
        <rFont val="Noto Sans CJK SC"/>
        <color theme="1"/>
        <sz val="11.0"/>
      </rPr>
      <t>を含む海外での制度事例や検討内容の収集・分析</t>
    </r>
  </si>
  <si>
    <r>
      <rPr>
        <rFont val="Noto Sans CJK SC"/>
        <color theme="1"/>
        <sz val="11.0"/>
      </rPr>
      <t>① フランス</t>
    </r>
    <r>
      <rPr>
        <rFont val="Arial"/>
        <color theme="1"/>
        <sz val="11.0"/>
      </rPr>
      <t>RE2020</t>
    </r>
    <r>
      <rPr>
        <rFont val="Noto Sans CJK SC"/>
        <color theme="1"/>
        <sz val="11.0"/>
      </rPr>
      <t>におけるダイナミック</t>
    </r>
    <r>
      <rPr>
        <rFont val="Arial"/>
        <color theme="1"/>
        <sz val="11.0"/>
      </rPr>
      <t>LCA</t>
    </r>
    <r>
      <rPr>
        <rFont val="Noto Sans CJK SC"/>
        <color theme="1"/>
        <sz val="11.0"/>
      </rPr>
      <t>関連情報の収集・分析</t>
    </r>
  </si>
  <si>
    <r>
      <rPr>
        <rFont val="Arial"/>
        <b/>
        <color theme="1"/>
        <sz val="11.0"/>
      </rPr>
      <t xml:space="preserve">(3) </t>
    </r>
    <r>
      <rPr>
        <rFont val="Noto Sans CJK SC"/>
        <b/>
        <color theme="1"/>
        <sz val="11.0"/>
      </rPr>
      <t>制度を支える情報基盤の構造把握</t>
    </r>
  </si>
  <si>
    <r>
      <rPr>
        <rFont val="Noto Sans CJK SC"/>
        <color theme="1"/>
        <sz val="11.0"/>
      </rPr>
      <t>建材の</t>
    </r>
    <r>
      <rPr>
        <rFont val="Arial"/>
        <color theme="1"/>
        <sz val="11.0"/>
      </rPr>
      <t>CO₂</t>
    </r>
    <r>
      <rPr>
        <rFont val="Noto Sans CJK SC"/>
        <color theme="1"/>
        <sz val="11.0"/>
      </rPr>
      <t>等排出量原単位データベースの構造分析</t>
    </r>
  </si>
  <si>
    <r>
      <rPr>
        <rFont val="Arial"/>
        <color theme="1"/>
        <sz val="11.0"/>
      </rPr>
      <t>INIES</t>
    </r>
    <r>
      <rPr>
        <rFont val="Noto Sans CJK SC"/>
        <color theme="1"/>
        <sz val="11.0"/>
      </rPr>
      <t>におけるデータ格納状況</t>
    </r>
  </si>
  <si>
    <r>
      <rPr>
        <rFont val="Arial"/>
        <color theme="1"/>
        <sz val="9.0"/>
      </rPr>
      <t>AI</t>
    </r>
    <r>
      <rPr>
        <rFont val="Noto Sans CJK SC"/>
        <color theme="1"/>
        <sz val="9.0"/>
      </rPr>
      <t>で</t>
    </r>
    <r>
      <rPr>
        <rFont val="Arial"/>
        <color theme="1"/>
        <sz val="9.0"/>
      </rPr>
      <t>DB</t>
    </r>
    <r>
      <rPr>
        <rFont val="Noto Sans CJK SC"/>
        <color theme="1"/>
        <sz val="9.0"/>
      </rPr>
      <t>スキーマ・データ構造を自動分析、表形式整理</t>
    </r>
  </si>
  <si>
    <r>
      <rPr>
        <rFont val="Arial"/>
        <color theme="1"/>
        <sz val="11.0"/>
      </rPr>
      <t>2026</t>
    </r>
    <r>
      <rPr>
        <rFont val="Noto Sans CJK SC"/>
        <color theme="1"/>
        <sz val="11.0"/>
      </rPr>
      <t>年</t>
    </r>
    <r>
      <rPr>
        <rFont val="Arial"/>
        <color theme="1"/>
        <sz val="11.0"/>
      </rPr>
      <t>7</t>
    </r>
    <r>
      <rPr>
        <rFont val="Noto Sans CJK SC"/>
        <color theme="1"/>
        <sz val="11.0"/>
      </rPr>
      <t>月上旬</t>
    </r>
  </si>
  <si>
    <r>
      <rPr>
        <rFont val="Arial"/>
        <color theme="1"/>
        <sz val="11.0"/>
      </rPr>
      <t>2026</t>
    </r>
    <r>
      <rPr>
        <rFont val="Noto Sans CJK SC"/>
        <color theme="1"/>
        <sz val="11.0"/>
      </rPr>
      <t>年</t>
    </r>
    <r>
      <rPr>
        <rFont val="Arial"/>
        <color theme="1"/>
        <sz val="11.0"/>
      </rPr>
      <t>8</t>
    </r>
    <r>
      <rPr>
        <rFont val="Noto Sans CJK SC"/>
        <color theme="1"/>
        <sz val="11.0"/>
      </rPr>
      <t>月下旬</t>
    </r>
  </si>
  <si>
    <r>
      <rPr>
        <rFont val="Arial"/>
        <i/>
        <color rgb="FF595959"/>
        <sz val="9.0"/>
      </rPr>
      <t>DB</t>
    </r>
    <r>
      <rPr>
        <rFont val="Noto Sans CJK SC"/>
        <i/>
        <color rgb="FF595959"/>
        <sz val="9.0"/>
      </rPr>
      <t>スキーマ分析は</t>
    </r>
    <r>
      <rPr>
        <rFont val="Arial"/>
        <i/>
        <color rgb="FF595959"/>
        <sz val="9.0"/>
      </rPr>
      <t>AI</t>
    </r>
    <r>
      <rPr>
        <rFont val="Noto Sans CJK SC"/>
        <i/>
        <color rgb="FF595959"/>
        <sz val="9.0"/>
      </rPr>
      <t>が特に得意</t>
    </r>
  </si>
  <si>
    <r>
      <rPr>
        <rFont val="Arial"/>
        <color theme="1"/>
        <sz val="11.0"/>
      </rPr>
      <t xml:space="preserve">1. </t>
    </r>
    <r>
      <rPr>
        <rFont val="Noto Sans CJK SC"/>
        <color theme="1"/>
        <sz val="11.0"/>
      </rPr>
      <t>木材の長期間利用による炭素貯蔵効果の評価手法の検討</t>
    </r>
  </si>
  <si>
    <r>
      <rPr>
        <rFont val="Arial"/>
        <color theme="1"/>
        <sz val="11.0"/>
      </rPr>
      <t xml:space="preserve">(1) </t>
    </r>
    <r>
      <rPr>
        <rFont val="Noto Sans CJK SC"/>
        <color theme="1"/>
        <sz val="11.0"/>
      </rPr>
      <t>フランスのダイナミック</t>
    </r>
    <r>
      <rPr>
        <rFont val="Arial"/>
        <color theme="1"/>
        <sz val="11.0"/>
      </rPr>
      <t>LCA</t>
    </r>
    <r>
      <rPr>
        <rFont val="Noto Sans CJK SC"/>
        <color theme="1"/>
        <sz val="11.0"/>
      </rPr>
      <t>を含む海外での制度事例や検討内容の収集・分析</t>
    </r>
  </si>
  <si>
    <r>
      <rPr>
        <rFont val="Noto Sans CJK SC"/>
        <color theme="1"/>
        <sz val="11.0"/>
      </rPr>
      <t>① フランス</t>
    </r>
    <r>
      <rPr>
        <rFont val="Arial"/>
        <color theme="1"/>
        <sz val="11.0"/>
      </rPr>
      <t>RE2020</t>
    </r>
    <r>
      <rPr>
        <rFont val="Noto Sans CJK SC"/>
        <color theme="1"/>
        <sz val="11.0"/>
      </rPr>
      <t>におけるダイナミック</t>
    </r>
    <r>
      <rPr>
        <rFont val="Arial"/>
        <color theme="1"/>
        <sz val="11.0"/>
      </rPr>
      <t>LCA</t>
    </r>
    <r>
      <rPr>
        <rFont val="Noto Sans CJK SC"/>
        <color theme="1"/>
        <sz val="11.0"/>
      </rPr>
      <t>関連情報の収集・分析</t>
    </r>
  </si>
  <si>
    <r>
      <rPr>
        <rFont val="Arial"/>
        <b/>
        <color theme="1"/>
        <sz val="11.0"/>
      </rPr>
      <t xml:space="preserve">(3) </t>
    </r>
    <r>
      <rPr>
        <rFont val="Noto Sans CJK SC"/>
        <b/>
        <color theme="1"/>
        <sz val="11.0"/>
      </rPr>
      <t>制度を支える情報基盤の構造把握</t>
    </r>
  </si>
  <si>
    <r>
      <rPr>
        <rFont val="Noto Sans CJK SC"/>
        <color theme="1"/>
        <sz val="11.0"/>
      </rPr>
      <t>建材の</t>
    </r>
    <r>
      <rPr>
        <rFont val="Arial"/>
        <color theme="1"/>
        <sz val="11.0"/>
      </rPr>
      <t>CO₂</t>
    </r>
    <r>
      <rPr>
        <rFont val="Noto Sans CJK SC"/>
        <color theme="1"/>
        <sz val="11.0"/>
      </rPr>
      <t>等排出量原単位データベースの構造分析</t>
    </r>
  </si>
  <si>
    <t>動的評価に必要なパラメータの設定状況</t>
  </si>
  <si>
    <r>
      <rPr>
        <rFont val="Arial"/>
        <color theme="1"/>
        <sz val="9.0"/>
      </rPr>
      <t>AI</t>
    </r>
    <r>
      <rPr>
        <rFont val="Noto Sans CJK SC"/>
        <color theme="1"/>
        <sz val="9.0"/>
      </rPr>
      <t>でパラメータ仕様の翻訳・整理を自動化</t>
    </r>
  </si>
  <si>
    <r>
      <rPr>
        <rFont val="Arial"/>
        <color theme="1"/>
        <sz val="11.0"/>
      </rPr>
      <t>2026</t>
    </r>
    <r>
      <rPr>
        <rFont val="Noto Sans CJK SC"/>
        <color theme="1"/>
        <sz val="11.0"/>
      </rPr>
      <t>年</t>
    </r>
    <r>
      <rPr>
        <rFont val="Arial"/>
        <color theme="1"/>
        <sz val="11.0"/>
      </rPr>
      <t>7</t>
    </r>
    <r>
      <rPr>
        <rFont val="Noto Sans CJK SC"/>
        <color theme="1"/>
        <sz val="11.0"/>
      </rPr>
      <t>月上旬</t>
    </r>
  </si>
  <si>
    <r>
      <rPr>
        <rFont val="Arial"/>
        <color theme="1"/>
        <sz val="11.0"/>
      </rPr>
      <t>2026</t>
    </r>
    <r>
      <rPr>
        <rFont val="Noto Sans CJK SC"/>
        <color theme="1"/>
        <sz val="11.0"/>
      </rPr>
      <t>年</t>
    </r>
    <r>
      <rPr>
        <rFont val="Arial"/>
        <color theme="1"/>
        <sz val="11.0"/>
      </rPr>
      <t>8</t>
    </r>
    <r>
      <rPr>
        <rFont val="Noto Sans CJK SC"/>
        <color theme="1"/>
        <sz val="11.0"/>
      </rPr>
      <t>月下旬</t>
    </r>
  </si>
  <si>
    <r>
      <rPr>
        <rFont val="Arial"/>
        <color theme="1"/>
        <sz val="11.0"/>
      </rPr>
      <t xml:space="preserve">1. </t>
    </r>
    <r>
      <rPr>
        <rFont val="Noto Sans CJK SC"/>
        <color theme="1"/>
        <sz val="11.0"/>
      </rPr>
      <t>木材の長期間利用による炭素貯蔵効果の評価手法の検討</t>
    </r>
  </si>
  <si>
    <r>
      <rPr>
        <rFont val="Arial"/>
        <color theme="1"/>
        <sz val="11.0"/>
      </rPr>
      <t xml:space="preserve">(1) </t>
    </r>
    <r>
      <rPr>
        <rFont val="Noto Sans CJK SC"/>
        <color theme="1"/>
        <sz val="11.0"/>
      </rPr>
      <t>フランスのダイナミック</t>
    </r>
    <r>
      <rPr>
        <rFont val="Arial"/>
        <color theme="1"/>
        <sz val="11.0"/>
      </rPr>
      <t>LCA</t>
    </r>
    <r>
      <rPr>
        <rFont val="Noto Sans CJK SC"/>
        <color theme="1"/>
        <sz val="11.0"/>
      </rPr>
      <t>を含む海外での制度事例や検討内容の収集・分析</t>
    </r>
  </si>
  <si>
    <r>
      <rPr>
        <rFont val="Noto Sans CJK SC"/>
        <color theme="1"/>
        <sz val="11.0"/>
      </rPr>
      <t>① フランス</t>
    </r>
    <r>
      <rPr>
        <rFont val="Arial"/>
        <color theme="1"/>
        <sz val="11.0"/>
      </rPr>
      <t>RE2020</t>
    </r>
    <r>
      <rPr>
        <rFont val="Noto Sans CJK SC"/>
        <color theme="1"/>
        <sz val="11.0"/>
      </rPr>
      <t>におけるダイナミック</t>
    </r>
    <r>
      <rPr>
        <rFont val="Arial"/>
        <color theme="1"/>
        <sz val="11.0"/>
      </rPr>
      <t>LCA</t>
    </r>
    <r>
      <rPr>
        <rFont val="Noto Sans CJK SC"/>
        <color theme="1"/>
        <sz val="11.0"/>
      </rPr>
      <t>関連情報の収集・分析</t>
    </r>
  </si>
  <si>
    <r>
      <rPr>
        <rFont val="Arial"/>
        <b/>
        <color theme="1"/>
        <sz val="11.0"/>
      </rPr>
      <t xml:space="preserve">(3) </t>
    </r>
    <r>
      <rPr>
        <rFont val="Noto Sans CJK SC"/>
        <b/>
        <color theme="1"/>
        <sz val="11.0"/>
      </rPr>
      <t>制度を支える情報基盤の構造把握</t>
    </r>
  </si>
  <si>
    <r>
      <rPr>
        <rFont val="Noto Sans CJK SC"/>
        <color theme="1"/>
        <sz val="11.0"/>
      </rPr>
      <t>建材の</t>
    </r>
    <r>
      <rPr>
        <rFont val="Arial"/>
        <color theme="1"/>
        <sz val="11.0"/>
      </rPr>
      <t>CO₂</t>
    </r>
    <r>
      <rPr>
        <rFont val="Noto Sans CJK SC"/>
        <color theme="1"/>
        <sz val="11.0"/>
      </rPr>
      <t>等排出量原単位データベースの構造分析</t>
    </r>
  </si>
  <si>
    <r>
      <rPr>
        <rFont val="Noto Sans CJK SC"/>
        <color theme="1"/>
        <sz val="11.0"/>
      </rPr>
      <t>静的</t>
    </r>
    <r>
      <rPr>
        <rFont val="Arial"/>
        <color theme="1"/>
        <sz val="11.0"/>
      </rPr>
      <t>LCA</t>
    </r>
    <r>
      <rPr>
        <rFont val="Noto Sans CJK SC"/>
        <color theme="1"/>
        <sz val="11.0"/>
      </rPr>
      <t>データとの構造差異</t>
    </r>
  </si>
  <si>
    <r>
      <rPr>
        <rFont val="Arial"/>
        <color theme="1"/>
        <sz val="9.0"/>
      </rPr>
      <t>AI</t>
    </r>
    <r>
      <rPr>
        <rFont val="Noto Sans CJK SC"/>
        <color theme="1"/>
        <sz val="9.0"/>
      </rPr>
      <t>で両者の比較表を自動生成、人間が検証</t>
    </r>
  </si>
  <si>
    <r>
      <rPr>
        <rFont val="Arial"/>
        <color theme="1"/>
        <sz val="11.0"/>
      </rPr>
      <t>2026</t>
    </r>
    <r>
      <rPr>
        <rFont val="Noto Sans CJK SC"/>
        <color theme="1"/>
        <sz val="11.0"/>
      </rPr>
      <t>年</t>
    </r>
    <r>
      <rPr>
        <rFont val="Arial"/>
        <color theme="1"/>
        <sz val="11.0"/>
      </rPr>
      <t>7</t>
    </r>
    <r>
      <rPr>
        <rFont val="Noto Sans CJK SC"/>
        <color theme="1"/>
        <sz val="11.0"/>
      </rPr>
      <t>月上旬</t>
    </r>
  </si>
  <si>
    <r>
      <rPr>
        <rFont val="Arial"/>
        <color theme="1"/>
        <sz val="11.0"/>
      </rPr>
      <t>2026</t>
    </r>
    <r>
      <rPr>
        <rFont val="Noto Sans CJK SC"/>
        <color theme="1"/>
        <sz val="11.0"/>
      </rPr>
      <t>年</t>
    </r>
    <r>
      <rPr>
        <rFont val="Arial"/>
        <color theme="1"/>
        <sz val="11.0"/>
      </rPr>
      <t>8</t>
    </r>
    <r>
      <rPr>
        <rFont val="Noto Sans CJK SC"/>
        <color theme="1"/>
        <sz val="11.0"/>
      </rPr>
      <t>月下旬</t>
    </r>
  </si>
  <si>
    <r>
      <rPr>
        <rFont val="Arial"/>
        <color theme="1"/>
        <sz val="11.0"/>
      </rPr>
      <t xml:space="preserve">1. </t>
    </r>
    <r>
      <rPr>
        <rFont val="Noto Sans CJK SC"/>
        <color theme="1"/>
        <sz val="11.0"/>
      </rPr>
      <t>木材の長期間利用による炭素貯蔵効果の評価手法の検討</t>
    </r>
  </si>
  <si>
    <r>
      <rPr>
        <rFont val="Arial"/>
        <color theme="1"/>
        <sz val="11.0"/>
      </rPr>
      <t xml:space="preserve">(1) </t>
    </r>
    <r>
      <rPr>
        <rFont val="Noto Sans CJK SC"/>
        <color theme="1"/>
        <sz val="11.0"/>
      </rPr>
      <t>フランスのダイナミック</t>
    </r>
    <r>
      <rPr>
        <rFont val="Arial"/>
        <color theme="1"/>
        <sz val="11.0"/>
      </rPr>
      <t>LCA</t>
    </r>
    <r>
      <rPr>
        <rFont val="Noto Sans CJK SC"/>
        <color theme="1"/>
        <sz val="11.0"/>
      </rPr>
      <t>を含む海外での制度事例や検討内容の収集・分析</t>
    </r>
  </si>
  <si>
    <r>
      <rPr>
        <rFont val="Noto Sans CJK SC"/>
        <color theme="1"/>
        <sz val="11.0"/>
      </rPr>
      <t>① フランス</t>
    </r>
    <r>
      <rPr>
        <rFont val="Arial"/>
        <color theme="1"/>
        <sz val="11.0"/>
      </rPr>
      <t>RE2020</t>
    </r>
    <r>
      <rPr>
        <rFont val="Noto Sans CJK SC"/>
        <color theme="1"/>
        <sz val="11.0"/>
      </rPr>
      <t>におけるダイナミック</t>
    </r>
    <r>
      <rPr>
        <rFont val="Arial"/>
        <color theme="1"/>
        <sz val="11.0"/>
      </rPr>
      <t>LCA</t>
    </r>
    <r>
      <rPr>
        <rFont val="Noto Sans CJK SC"/>
        <color theme="1"/>
        <sz val="11.0"/>
      </rPr>
      <t>関連情報の収集・分析</t>
    </r>
  </si>
  <si>
    <r>
      <rPr>
        <rFont val="Arial"/>
        <b/>
        <color theme="1"/>
        <sz val="11.0"/>
      </rPr>
      <t xml:space="preserve">(3) </t>
    </r>
    <r>
      <rPr>
        <rFont val="Noto Sans CJK SC"/>
        <b/>
        <color theme="1"/>
        <sz val="11.0"/>
      </rPr>
      <t>制度を支える情報基盤の構造把握</t>
    </r>
  </si>
  <si>
    <r>
      <rPr>
        <rFont val="Noto Sans CJK SC"/>
        <color theme="1"/>
        <sz val="11.0"/>
      </rPr>
      <t>建材の</t>
    </r>
    <r>
      <rPr>
        <rFont val="Arial"/>
        <color theme="1"/>
        <sz val="11.0"/>
      </rPr>
      <t>CO₂</t>
    </r>
    <r>
      <rPr>
        <rFont val="Noto Sans CJK SC"/>
        <color theme="1"/>
        <sz val="11.0"/>
      </rPr>
      <t>等排出量原単位データベースの構造分析</t>
    </r>
  </si>
  <si>
    <t>データ更新及び品質管理体制</t>
  </si>
  <si>
    <r>
      <rPr>
        <rFont val="Arial"/>
        <color theme="1"/>
        <sz val="9.0"/>
      </rPr>
      <t>Claude/ChatGPT</t>
    </r>
    <r>
      <rPr>
        <rFont val="Noto Sans CJK SC"/>
        <color theme="1"/>
        <sz val="9.0"/>
      </rPr>
      <t>でフランス語文献の翻訳・要約・論点抽出を一次処理、</t>
    </r>
    <r>
      <rPr>
        <rFont val="Arial"/>
        <color theme="1"/>
        <sz val="9.0"/>
      </rPr>
      <t>DeepL</t>
    </r>
    <r>
      <rPr>
        <rFont val="Noto Sans CJK SC"/>
        <color theme="1"/>
        <sz val="9.0"/>
      </rPr>
      <t>で補助翻訳、人間が検証</t>
    </r>
  </si>
  <si>
    <r>
      <rPr>
        <rFont val="Arial"/>
        <color theme="1"/>
        <sz val="11.0"/>
      </rPr>
      <t>2026</t>
    </r>
    <r>
      <rPr>
        <rFont val="Noto Sans CJK SC"/>
        <color theme="1"/>
        <sz val="11.0"/>
      </rPr>
      <t>年</t>
    </r>
    <r>
      <rPr>
        <rFont val="Arial"/>
        <color theme="1"/>
        <sz val="11.0"/>
      </rPr>
      <t>7</t>
    </r>
    <r>
      <rPr>
        <rFont val="Noto Sans CJK SC"/>
        <color theme="1"/>
        <sz val="11.0"/>
      </rPr>
      <t>月上旬</t>
    </r>
  </si>
  <si>
    <r>
      <rPr>
        <rFont val="Arial"/>
        <color theme="1"/>
        <sz val="11.0"/>
      </rPr>
      <t>2026</t>
    </r>
    <r>
      <rPr>
        <rFont val="Noto Sans CJK SC"/>
        <color theme="1"/>
        <sz val="11.0"/>
      </rPr>
      <t>年</t>
    </r>
    <r>
      <rPr>
        <rFont val="Arial"/>
        <color theme="1"/>
        <sz val="11.0"/>
      </rPr>
      <t>8</t>
    </r>
    <r>
      <rPr>
        <rFont val="Noto Sans CJK SC"/>
        <color theme="1"/>
        <sz val="11.0"/>
      </rPr>
      <t>月下旬</t>
    </r>
  </si>
  <si>
    <r>
      <rPr>
        <rFont val="Arial"/>
        <color theme="1"/>
        <sz val="11.0"/>
      </rPr>
      <t xml:space="preserve">1. </t>
    </r>
    <r>
      <rPr>
        <rFont val="Noto Sans CJK SC"/>
        <color theme="1"/>
        <sz val="11.0"/>
      </rPr>
      <t>木材の長期間利用による炭素貯蔵効果の評価手法の検討</t>
    </r>
  </si>
  <si>
    <r>
      <rPr>
        <rFont val="Arial"/>
        <color theme="1"/>
        <sz val="11.0"/>
      </rPr>
      <t xml:space="preserve">(1) </t>
    </r>
    <r>
      <rPr>
        <rFont val="Noto Sans CJK SC"/>
        <color theme="1"/>
        <sz val="11.0"/>
      </rPr>
      <t>フランスのダイナミック</t>
    </r>
    <r>
      <rPr>
        <rFont val="Arial"/>
        <color theme="1"/>
        <sz val="11.0"/>
      </rPr>
      <t>LCA</t>
    </r>
    <r>
      <rPr>
        <rFont val="Noto Sans CJK SC"/>
        <color theme="1"/>
        <sz val="11.0"/>
      </rPr>
      <t>を含む海外での制度事例や検討内容の収集・分析</t>
    </r>
  </si>
  <si>
    <r>
      <rPr>
        <rFont val="Noto Sans CJK SC"/>
        <color theme="1"/>
        <sz val="11.0"/>
      </rPr>
      <t>① フランス</t>
    </r>
    <r>
      <rPr>
        <rFont val="Arial"/>
        <color theme="1"/>
        <sz val="11.0"/>
      </rPr>
      <t>RE2020</t>
    </r>
    <r>
      <rPr>
        <rFont val="Noto Sans CJK SC"/>
        <color theme="1"/>
        <sz val="11.0"/>
      </rPr>
      <t>におけるダイナミック</t>
    </r>
    <r>
      <rPr>
        <rFont val="Arial"/>
        <color theme="1"/>
        <sz val="11.0"/>
      </rPr>
      <t>LCA</t>
    </r>
    <r>
      <rPr>
        <rFont val="Noto Sans CJK SC"/>
        <color theme="1"/>
        <sz val="11.0"/>
      </rPr>
      <t>関連情報の収集・分析</t>
    </r>
  </si>
  <si>
    <r>
      <rPr>
        <rFont val="Arial"/>
        <b/>
        <color theme="1"/>
        <sz val="11.0"/>
      </rPr>
      <t xml:space="preserve">(3) </t>
    </r>
    <r>
      <rPr>
        <rFont val="Noto Sans CJK SC"/>
        <b/>
        <color theme="1"/>
        <sz val="11.0"/>
      </rPr>
      <t>制度を支える情報基盤の構造把握</t>
    </r>
  </si>
  <si>
    <t>炭素フローモデルの仕様把握</t>
  </si>
  <si>
    <t>木材製品等の炭素貯蔵機能の評価方法</t>
  </si>
  <si>
    <r>
      <rPr>
        <rFont val="Arial"/>
        <color theme="1"/>
        <sz val="9.0"/>
      </rPr>
      <t>AI</t>
    </r>
    <r>
      <rPr>
        <rFont val="Noto Sans CJK SC"/>
        <color theme="1"/>
        <sz val="9.0"/>
      </rPr>
      <t>で概念整理・比較表の初稿生成、人間が専門的精査・修正</t>
    </r>
  </si>
  <si>
    <r>
      <rPr>
        <rFont val="Arial"/>
        <color theme="1"/>
        <sz val="11.0"/>
      </rPr>
      <t>2026</t>
    </r>
    <r>
      <rPr>
        <rFont val="Noto Sans CJK SC"/>
        <color theme="1"/>
        <sz val="11.0"/>
      </rPr>
      <t>年</t>
    </r>
    <r>
      <rPr>
        <rFont val="Arial"/>
        <color theme="1"/>
        <sz val="11.0"/>
      </rPr>
      <t>8</t>
    </r>
    <r>
      <rPr>
        <rFont val="Noto Sans CJK SC"/>
        <color theme="1"/>
        <sz val="11.0"/>
      </rPr>
      <t>月中旬</t>
    </r>
  </si>
  <si>
    <r>
      <rPr>
        <rFont val="Arial"/>
        <color theme="1"/>
        <sz val="11.0"/>
      </rPr>
      <t>2026</t>
    </r>
    <r>
      <rPr>
        <rFont val="Noto Sans CJK SC"/>
        <color theme="1"/>
        <sz val="11.0"/>
      </rPr>
      <t>年</t>
    </r>
    <r>
      <rPr>
        <rFont val="Arial"/>
        <color theme="1"/>
        <sz val="11.0"/>
      </rPr>
      <t>9</t>
    </r>
    <r>
      <rPr>
        <rFont val="Noto Sans CJK SC"/>
        <color theme="1"/>
        <sz val="11.0"/>
      </rPr>
      <t>月下旬</t>
    </r>
  </si>
  <si>
    <t>専門的解釈が必要</t>
  </si>
  <si>
    <r>
      <rPr>
        <rFont val="Arial"/>
        <color theme="1"/>
        <sz val="11.0"/>
      </rPr>
      <t xml:space="preserve">1. </t>
    </r>
    <r>
      <rPr>
        <rFont val="Noto Sans CJK SC"/>
        <color theme="1"/>
        <sz val="11.0"/>
      </rPr>
      <t>木材の長期間利用による炭素貯蔵効果の評価手法の検討</t>
    </r>
  </si>
  <si>
    <r>
      <rPr>
        <rFont val="Arial"/>
        <color theme="1"/>
        <sz val="11.0"/>
      </rPr>
      <t xml:space="preserve">(1) </t>
    </r>
    <r>
      <rPr>
        <rFont val="Noto Sans CJK SC"/>
        <color theme="1"/>
        <sz val="11.0"/>
      </rPr>
      <t>フランスのダイナミック</t>
    </r>
    <r>
      <rPr>
        <rFont val="Arial"/>
        <color theme="1"/>
        <sz val="11.0"/>
      </rPr>
      <t>LCA</t>
    </r>
    <r>
      <rPr>
        <rFont val="Noto Sans CJK SC"/>
        <color theme="1"/>
        <sz val="11.0"/>
      </rPr>
      <t>を含む海外での制度事例や検討内容の収集・分析</t>
    </r>
  </si>
  <si>
    <r>
      <rPr>
        <rFont val="Noto Sans CJK SC"/>
        <color theme="1"/>
        <sz val="11.0"/>
      </rPr>
      <t>① フランス</t>
    </r>
    <r>
      <rPr>
        <rFont val="Arial"/>
        <color theme="1"/>
        <sz val="11.0"/>
      </rPr>
      <t>RE2020</t>
    </r>
    <r>
      <rPr>
        <rFont val="Noto Sans CJK SC"/>
        <color theme="1"/>
        <sz val="11.0"/>
      </rPr>
      <t>におけるダイナミック</t>
    </r>
    <r>
      <rPr>
        <rFont val="Arial"/>
        <color theme="1"/>
        <sz val="11.0"/>
      </rPr>
      <t>LCA</t>
    </r>
    <r>
      <rPr>
        <rFont val="Noto Sans CJK SC"/>
        <color theme="1"/>
        <sz val="11.0"/>
      </rPr>
      <t>関連情報の収集・分析</t>
    </r>
  </si>
  <si>
    <r>
      <rPr>
        <rFont val="Arial"/>
        <b/>
        <color theme="1"/>
        <sz val="11.0"/>
      </rPr>
      <t xml:space="preserve">(3) </t>
    </r>
    <r>
      <rPr>
        <rFont val="Noto Sans CJK SC"/>
        <b/>
        <color theme="1"/>
        <sz val="11.0"/>
      </rPr>
      <t>制度を支える情報基盤の構造把握</t>
    </r>
  </si>
  <si>
    <t>エンドオブライフシナリオのモデル化方法</t>
  </si>
  <si>
    <r>
      <rPr>
        <rFont val="Arial"/>
        <color theme="1"/>
        <sz val="9.0"/>
      </rPr>
      <t>AI</t>
    </r>
    <r>
      <rPr>
        <rFont val="Noto Sans CJK SC"/>
        <color theme="1"/>
        <sz val="9.0"/>
      </rPr>
      <t>でシナリオ定義の翻訳・整理、人間が解釈</t>
    </r>
  </si>
  <si>
    <r>
      <rPr>
        <rFont val="Arial"/>
        <color theme="1"/>
        <sz val="11.0"/>
      </rPr>
      <t>2026</t>
    </r>
    <r>
      <rPr>
        <rFont val="Noto Sans CJK SC"/>
        <color theme="1"/>
        <sz val="11.0"/>
      </rPr>
      <t>年</t>
    </r>
    <r>
      <rPr>
        <rFont val="Arial"/>
        <color theme="1"/>
        <sz val="11.0"/>
      </rPr>
      <t>8</t>
    </r>
    <r>
      <rPr>
        <rFont val="Noto Sans CJK SC"/>
        <color theme="1"/>
        <sz val="11.0"/>
      </rPr>
      <t>月中旬</t>
    </r>
  </si>
  <si>
    <r>
      <rPr>
        <rFont val="Arial"/>
        <color theme="1"/>
        <sz val="11.0"/>
      </rPr>
      <t>2026</t>
    </r>
    <r>
      <rPr>
        <rFont val="Noto Sans CJK SC"/>
        <color theme="1"/>
        <sz val="11.0"/>
      </rPr>
      <t>年</t>
    </r>
    <r>
      <rPr>
        <rFont val="Arial"/>
        <color theme="1"/>
        <sz val="11.0"/>
      </rPr>
      <t>9</t>
    </r>
    <r>
      <rPr>
        <rFont val="Noto Sans CJK SC"/>
        <color theme="1"/>
        <sz val="11.0"/>
      </rPr>
      <t>月下旬</t>
    </r>
  </si>
  <si>
    <r>
      <rPr>
        <rFont val="Arial"/>
        <color theme="1"/>
        <sz val="11.0"/>
      </rPr>
      <t xml:space="preserve">1. </t>
    </r>
    <r>
      <rPr>
        <rFont val="Noto Sans CJK SC"/>
        <color theme="1"/>
        <sz val="11.0"/>
      </rPr>
      <t>木材の長期間利用による炭素貯蔵効果の評価手法の検討</t>
    </r>
  </si>
  <si>
    <r>
      <rPr>
        <rFont val="Arial"/>
        <color theme="1"/>
        <sz val="11.0"/>
      </rPr>
      <t xml:space="preserve">(1) </t>
    </r>
    <r>
      <rPr>
        <rFont val="Noto Sans CJK SC"/>
        <color theme="1"/>
        <sz val="11.0"/>
      </rPr>
      <t>フランスのダイナミック</t>
    </r>
    <r>
      <rPr>
        <rFont val="Arial"/>
        <color theme="1"/>
        <sz val="11.0"/>
      </rPr>
      <t>LCA</t>
    </r>
    <r>
      <rPr>
        <rFont val="Noto Sans CJK SC"/>
        <color theme="1"/>
        <sz val="11.0"/>
      </rPr>
      <t>を含む海外での制度事例や検討内容の収集・分析</t>
    </r>
  </si>
  <si>
    <r>
      <rPr>
        <rFont val="Noto Sans CJK SC"/>
        <color theme="1"/>
        <sz val="11.0"/>
      </rPr>
      <t>① フランス</t>
    </r>
    <r>
      <rPr>
        <rFont val="Arial"/>
        <color theme="1"/>
        <sz val="11.0"/>
      </rPr>
      <t>RE2020</t>
    </r>
    <r>
      <rPr>
        <rFont val="Noto Sans CJK SC"/>
        <color theme="1"/>
        <sz val="11.0"/>
      </rPr>
      <t>におけるダイナミック</t>
    </r>
    <r>
      <rPr>
        <rFont val="Arial"/>
        <color theme="1"/>
        <sz val="11.0"/>
      </rPr>
      <t>LCA</t>
    </r>
    <r>
      <rPr>
        <rFont val="Noto Sans CJK SC"/>
        <color theme="1"/>
        <sz val="11.0"/>
      </rPr>
      <t>関連情報の収集・分析</t>
    </r>
  </si>
  <si>
    <r>
      <rPr>
        <rFont val="Arial"/>
        <b/>
        <color theme="1"/>
        <sz val="11.0"/>
      </rPr>
      <t xml:space="preserve">(3) </t>
    </r>
    <r>
      <rPr>
        <rFont val="Noto Sans CJK SC"/>
        <b/>
        <color theme="1"/>
        <sz val="11.0"/>
      </rPr>
      <t>制度を支える情報基盤の構造把握</t>
    </r>
  </si>
  <si>
    <r>
      <rPr>
        <rFont val="Arial"/>
        <color theme="1"/>
        <sz val="9.0"/>
      </rPr>
      <t>AI</t>
    </r>
    <r>
      <rPr>
        <rFont val="Noto Sans CJK SC"/>
        <color theme="1"/>
        <sz val="9.0"/>
      </rPr>
      <t>で根拠資料を翻訳・整理</t>
    </r>
  </si>
  <si>
    <r>
      <rPr>
        <rFont val="Arial"/>
        <color theme="1"/>
        <sz val="11.0"/>
      </rPr>
      <t>2026</t>
    </r>
    <r>
      <rPr>
        <rFont val="Noto Sans CJK SC"/>
        <color theme="1"/>
        <sz val="11.0"/>
      </rPr>
      <t>年</t>
    </r>
    <r>
      <rPr>
        <rFont val="Arial"/>
        <color theme="1"/>
        <sz val="11.0"/>
      </rPr>
      <t>8</t>
    </r>
    <r>
      <rPr>
        <rFont val="Noto Sans CJK SC"/>
        <color theme="1"/>
        <sz val="11.0"/>
      </rPr>
      <t>月中旬</t>
    </r>
  </si>
  <si>
    <r>
      <rPr>
        <rFont val="Arial"/>
        <color theme="1"/>
        <sz val="11.0"/>
      </rPr>
      <t>2026</t>
    </r>
    <r>
      <rPr>
        <rFont val="Noto Sans CJK SC"/>
        <color theme="1"/>
        <sz val="11.0"/>
      </rPr>
      <t>年</t>
    </r>
    <r>
      <rPr>
        <rFont val="Arial"/>
        <color theme="1"/>
        <sz val="11.0"/>
      </rPr>
      <t>9</t>
    </r>
    <r>
      <rPr>
        <rFont val="Noto Sans CJK SC"/>
        <color theme="1"/>
        <sz val="11.0"/>
      </rPr>
      <t>月下旬</t>
    </r>
  </si>
  <si>
    <r>
      <rPr>
        <rFont val="Arial"/>
        <color theme="1"/>
        <sz val="11.0"/>
      </rPr>
      <t xml:space="preserve">1. </t>
    </r>
    <r>
      <rPr>
        <rFont val="Noto Sans CJK SC"/>
        <color theme="1"/>
        <sz val="11.0"/>
      </rPr>
      <t>木材の長期間利用による炭素貯蔵効果の評価手法の検討</t>
    </r>
  </si>
  <si>
    <r>
      <rPr>
        <rFont val="Arial"/>
        <color theme="1"/>
        <sz val="11.0"/>
      </rPr>
      <t xml:space="preserve">(1) </t>
    </r>
    <r>
      <rPr>
        <rFont val="Noto Sans CJK SC"/>
        <color theme="1"/>
        <sz val="11.0"/>
      </rPr>
      <t>フランスのダイナミック</t>
    </r>
    <r>
      <rPr>
        <rFont val="Arial"/>
        <color theme="1"/>
        <sz val="11.0"/>
      </rPr>
      <t>LCA</t>
    </r>
    <r>
      <rPr>
        <rFont val="Noto Sans CJK SC"/>
        <color theme="1"/>
        <sz val="11.0"/>
      </rPr>
      <t>を含む海外での制度事例や検討内容の収集・分析</t>
    </r>
  </si>
  <si>
    <r>
      <rPr>
        <rFont val="Noto Sans CJK SC"/>
        <color theme="1"/>
        <sz val="11.0"/>
      </rPr>
      <t>① フランス</t>
    </r>
    <r>
      <rPr>
        <rFont val="Arial"/>
        <color theme="1"/>
        <sz val="11.0"/>
      </rPr>
      <t>RE2020</t>
    </r>
    <r>
      <rPr>
        <rFont val="Noto Sans CJK SC"/>
        <color theme="1"/>
        <sz val="11.0"/>
      </rPr>
      <t>におけるダイナミック</t>
    </r>
    <r>
      <rPr>
        <rFont val="Arial"/>
        <color theme="1"/>
        <sz val="11.0"/>
      </rPr>
      <t>LCA</t>
    </r>
    <r>
      <rPr>
        <rFont val="Noto Sans CJK SC"/>
        <color theme="1"/>
        <sz val="11.0"/>
      </rPr>
      <t>関連情報の収集・分析</t>
    </r>
  </si>
  <si>
    <r>
      <rPr>
        <rFont val="Arial"/>
        <b/>
        <color theme="1"/>
        <sz val="11.0"/>
      </rPr>
      <t xml:space="preserve">(3) </t>
    </r>
    <r>
      <rPr>
        <rFont val="Noto Sans CJK SC"/>
        <b/>
        <color theme="1"/>
        <sz val="11.0"/>
      </rPr>
      <t>制度を支える情報基盤の構造把握</t>
    </r>
  </si>
  <si>
    <r>
      <rPr>
        <rFont val="Noto Sans CJK SC"/>
        <color theme="1"/>
        <sz val="11.0"/>
      </rPr>
      <t>建築物</t>
    </r>
    <r>
      <rPr>
        <rFont val="Arial"/>
        <color theme="1"/>
        <sz val="11.0"/>
      </rPr>
      <t>LCA</t>
    </r>
    <r>
      <rPr>
        <rFont val="Noto Sans CJK SC"/>
        <color theme="1"/>
        <sz val="11.0"/>
      </rPr>
      <t>算定プロセスとの接続構造</t>
    </r>
  </si>
  <si>
    <r>
      <rPr>
        <rFont val="Arial"/>
        <color theme="1"/>
        <sz val="11.0"/>
      </rPr>
      <t>A-D</t>
    </r>
    <r>
      <rPr>
        <rFont val="Noto Sans CJK SC"/>
        <color theme="1"/>
        <sz val="11.0"/>
      </rPr>
      <t>モジュールとの関係</t>
    </r>
  </si>
  <si>
    <r>
      <rPr>
        <rFont val="Arial"/>
        <color theme="1"/>
        <sz val="9.0"/>
      </rPr>
      <t>AI</t>
    </r>
    <r>
      <rPr>
        <rFont val="Noto Sans CJK SC"/>
        <color theme="1"/>
        <sz val="9.0"/>
      </rPr>
      <t>で概念整理・比較表の初稿生成、人間が専門的精査・修正</t>
    </r>
  </si>
  <si>
    <r>
      <rPr>
        <rFont val="Arial"/>
        <color theme="1"/>
        <sz val="11.0"/>
      </rPr>
      <t>2026</t>
    </r>
    <r>
      <rPr>
        <rFont val="Noto Sans CJK SC"/>
        <color theme="1"/>
        <sz val="11.0"/>
      </rPr>
      <t>年</t>
    </r>
    <r>
      <rPr>
        <rFont val="Arial"/>
        <color theme="1"/>
        <sz val="11.0"/>
      </rPr>
      <t>8</t>
    </r>
    <r>
      <rPr>
        <rFont val="Noto Sans CJK SC"/>
        <color theme="1"/>
        <sz val="11.0"/>
      </rPr>
      <t>月中旬</t>
    </r>
  </si>
  <si>
    <r>
      <rPr>
        <rFont val="Arial"/>
        <color theme="1"/>
        <sz val="11.0"/>
      </rPr>
      <t>2026</t>
    </r>
    <r>
      <rPr>
        <rFont val="Noto Sans CJK SC"/>
        <color theme="1"/>
        <sz val="11.0"/>
      </rPr>
      <t>年</t>
    </r>
    <r>
      <rPr>
        <rFont val="Arial"/>
        <color theme="1"/>
        <sz val="11.0"/>
      </rPr>
      <t>9</t>
    </r>
    <r>
      <rPr>
        <rFont val="Noto Sans CJK SC"/>
        <color theme="1"/>
        <sz val="11.0"/>
      </rPr>
      <t>月下旬</t>
    </r>
  </si>
  <si>
    <r>
      <rPr>
        <rFont val="Arial"/>
        <color theme="1"/>
        <sz val="11.0"/>
      </rPr>
      <t xml:space="preserve">1. </t>
    </r>
    <r>
      <rPr>
        <rFont val="Noto Sans CJK SC"/>
        <color theme="1"/>
        <sz val="11.0"/>
      </rPr>
      <t>木材の長期間利用による炭素貯蔵効果の評価手法の検討</t>
    </r>
  </si>
  <si>
    <r>
      <rPr>
        <rFont val="Arial"/>
        <color theme="1"/>
        <sz val="11.0"/>
      </rPr>
      <t xml:space="preserve">(1) </t>
    </r>
    <r>
      <rPr>
        <rFont val="Noto Sans CJK SC"/>
        <color theme="1"/>
        <sz val="11.0"/>
      </rPr>
      <t>フランスのダイナミック</t>
    </r>
    <r>
      <rPr>
        <rFont val="Arial"/>
        <color theme="1"/>
        <sz val="11.0"/>
      </rPr>
      <t>LCA</t>
    </r>
    <r>
      <rPr>
        <rFont val="Noto Sans CJK SC"/>
        <color theme="1"/>
        <sz val="11.0"/>
      </rPr>
      <t>を含む海外での制度事例や検討内容の収集・分析</t>
    </r>
  </si>
  <si>
    <r>
      <rPr>
        <rFont val="Noto Sans CJK SC"/>
        <color theme="1"/>
        <sz val="11.0"/>
      </rPr>
      <t>① フランス</t>
    </r>
    <r>
      <rPr>
        <rFont val="Arial"/>
        <color theme="1"/>
        <sz val="11.0"/>
      </rPr>
      <t>RE2020</t>
    </r>
    <r>
      <rPr>
        <rFont val="Noto Sans CJK SC"/>
        <color theme="1"/>
        <sz val="11.0"/>
      </rPr>
      <t>におけるダイナミック</t>
    </r>
    <r>
      <rPr>
        <rFont val="Arial"/>
        <color theme="1"/>
        <sz val="11.0"/>
      </rPr>
      <t>LCA</t>
    </r>
    <r>
      <rPr>
        <rFont val="Noto Sans CJK SC"/>
        <color theme="1"/>
        <sz val="11.0"/>
      </rPr>
      <t>関連情報の収集・分析</t>
    </r>
  </si>
  <si>
    <r>
      <rPr>
        <rFont val="Arial"/>
        <b/>
        <color theme="1"/>
        <sz val="11.0"/>
      </rPr>
      <t xml:space="preserve">(3) </t>
    </r>
    <r>
      <rPr>
        <rFont val="Noto Sans CJK SC"/>
        <b/>
        <color theme="1"/>
        <sz val="11.0"/>
      </rPr>
      <t>制度を支える情報基盤の構造把握</t>
    </r>
  </si>
  <si>
    <r>
      <rPr>
        <rFont val="Noto Sans CJK SC"/>
        <color theme="1"/>
        <sz val="11.0"/>
      </rPr>
      <t>建築物</t>
    </r>
    <r>
      <rPr>
        <rFont val="Arial"/>
        <color theme="1"/>
        <sz val="11.0"/>
      </rPr>
      <t>LCA</t>
    </r>
    <r>
      <rPr>
        <rFont val="Noto Sans CJK SC"/>
        <color theme="1"/>
        <sz val="11.0"/>
      </rPr>
      <t>算定プロセスとの接続構造</t>
    </r>
  </si>
  <si>
    <r>
      <rPr>
        <rFont val="Arial"/>
        <color theme="1"/>
        <sz val="11.0"/>
      </rPr>
      <t>LCCO₂</t>
    </r>
    <r>
      <rPr>
        <rFont val="Noto Sans CJK SC"/>
        <color theme="1"/>
        <sz val="11.0"/>
      </rPr>
      <t>計算フローでの動的評価の位置づけ</t>
    </r>
  </si>
  <si>
    <r>
      <rPr>
        <rFont val="Arial"/>
        <color theme="1"/>
        <sz val="9.0"/>
      </rPr>
      <t>AI</t>
    </r>
    <r>
      <rPr>
        <rFont val="Noto Sans CJK SC"/>
        <color theme="1"/>
        <sz val="9.0"/>
      </rPr>
      <t>で概念整理・比較表の初稿生成、人間が専門的精査・修正</t>
    </r>
  </si>
  <si>
    <r>
      <rPr>
        <rFont val="Arial"/>
        <color theme="1"/>
        <sz val="11.0"/>
      </rPr>
      <t>2026</t>
    </r>
    <r>
      <rPr>
        <rFont val="Noto Sans CJK SC"/>
        <color theme="1"/>
        <sz val="11.0"/>
      </rPr>
      <t>年</t>
    </r>
    <r>
      <rPr>
        <rFont val="Arial"/>
        <color theme="1"/>
        <sz val="11.0"/>
      </rPr>
      <t>8</t>
    </r>
    <r>
      <rPr>
        <rFont val="Noto Sans CJK SC"/>
        <color theme="1"/>
        <sz val="11.0"/>
      </rPr>
      <t>月中旬</t>
    </r>
  </si>
  <si>
    <r>
      <rPr>
        <rFont val="Arial"/>
        <color theme="1"/>
        <sz val="11.0"/>
      </rPr>
      <t>2026</t>
    </r>
    <r>
      <rPr>
        <rFont val="Noto Sans CJK SC"/>
        <color theme="1"/>
        <sz val="11.0"/>
      </rPr>
      <t>年</t>
    </r>
    <r>
      <rPr>
        <rFont val="Arial"/>
        <color theme="1"/>
        <sz val="11.0"/>
      </rPr>
      <t>9</t>
    </r>
    <r>
      <rPr>
        <rFont val="Noto Sans CJK SC"/>
        <color theme="1"/>
        <sz val="11.0"/>
      </rPr>
      <t>月下旬</t>
    </r>
  </si>
  <si>
    <r>
      <rPr>
        <rFont val="Arial"/>
        <color theme="1"/>
        <sz val="11.0"/>
      </rPr>
      <t xml:space="preserve">1. </t>
    </r>
    <r>
      <rPr>
        <rFont val="Noto Sans CJK SC"/>
        <color theme="1"/>
        <sz val="11.0"/>
      </rPr>
      <t>木材の長期間利用による炭素貯蔵効果の評価手法の検討</t>
    </r>
  </si>
  <si>
    <r>
      <rPr>
        <rFont val="Arial"/>
        <color theme="1"/>
        <sz val="11.0"/>
      </rPr>
      <t xml:space="preserve">(1) </t>
    </r>
    <r>
      <rPr>
        <rFont val="Noto Sans CJK SC"/>
        <color theme="1"/>
        <sz val="11.0"/>
      </rPr>
      <t>フランスのダイナミック</t>
    </r>
    <r>
      <rPr>
        <rFont val="Arial"/>
        <color theme="1"/>
        <sz val="11.0"/>
      </rPr>
      <t>LCA</t>
    </r>
    <r>
      <rPr>
        <rFont val="Noto Sans CJK SC"/>
        <color theme="1"/>
        <sz val="11.0"/>
      </rPr>
      <t>を含む海外での制度事例や検討内容の収集・分析</t>
    </r>
  </si>
  <si>
    <r>
      <rPr>
        <rFont val="Noto Sans CJK SC"/>
        <color theme="1"/>
        <sz val="11.0"/>
      </rPr>
      <t>① フランス</t>
    </r>
    <r>
      <rPr>
        <rFont val="Arial"/>
        <color theme="1"/>
        <sz val="11.0"/>
      </rPr>
      <t>RE2020</t>
    </r>
    <r>
      <rPr>
        <rFont val="Noto Sans CJK SC"/>
        <color theme="1"/>
        <sz val="11.0"/>
      </rPr>
      <t>におけるダイナミック</t>
    </r>
    <r>
      <rPr>
        <rFont val="Arial"/>
        <color theme="1"/>
        <sz val="11.0"/>
      </rPr>
      <t>LCA</t>
    </r>
    <r>
      <rPr>
        <rFont val="Noto Sans CJK SC"/>
        <color theme="1"/>
        <sz val="11.0"/>
      </rPr>
      <t>関連情報の収集・分析</t>
    </r>
  </si>
  <si>
    <r>
      <rPr>
        <rFont val="Arial"/>
        <b/>
        <color theme="1"/>
        <sz val="11.0"/>
      </rPr>
      <t xml:space="preserve">(3) </t>
    </r>
    <r>
      <rPr>
        <rFont val="Noto Sans CJK SC"/>
        <b/>
        <color theme="1"/>
        <sz val="11.0"/>
      </rPr>
      <t>制度を支える情報基盤の構造把握</t>
    </r>
  </si>
  <si>
    <r>
      <rPr>
        <rFont val="Noto Sans CJK SC"/>
        <color theme="1"/>
        <sz val="11.0"/>
      </rPr>
      <t>建築物</t>
    </r>
    <r>
      <rPr>
        <rFont val="Arial"/>
        <color theme="1"/>
        <sz val="11.0"/>
      </rPr>
      <t>LCA</t>
    </r>
    <r>
      <rPr>
        <rFont val="Noto Sans CJK SC"/>
        <color theme="1"/>
        <sz val="11.0"/>
      </rPr>
      <t>算定プロセスとの接続構造</t>
    </r>
  </si>
  <si>
    <t>算定結果表示方式</t>
  </si>
  <si>
    <r>
      <rPr>
        <rFont val="Arial"/>
        <color theme="1"/>
        <sz val="9.0"/>
      </rPr>
      <t>Claude/ChatGPT</t>
    </r>
    <r>
      <rPr>
        <rFont val="Noto Sans CJK SC"/>
        <color theme="1"/>
        <sz val="9.0"/>
      </rPr>
      <t>でフランス語文献の翻訳・要約・論点抽出を一次処理、</t>
    </r>
    <r>
      <rPr>
        <rFont val="Arial"/>
        <color theme="1"/>
        <sz val="9.0"/>
      </rPr>
      <t>DeepL</t>
    </r>
    <r>
      <rPr>
        <rFont val="Noto Sans CJK SC"/>
        <color theme="1"/>
        <sz val="9.0"/>
      </rPr>
      <t>で補助翻訳、人間が検証</t>
    </r>
  </si>
  <si>
    <r>
      <rPr>
        <rFont val="Arial"/>
        <color theme="1"/>
        <sz val="11.0"/>
      </rPr>
      <t>2026</t>
    </r>
    <r>
      <rPr>
        <rFont val="Noto Sans CJK SC"/>
        <color theme="1"/>
        <sz val="11.0"/>
      </rPr>
      <t>年</t>
    </r>
    <r>
      <rPr>
        <rFont val="Arial"/>
        <color theme="1"/>
        <sz val="11.0"/>
      </rPr>
      <t>8</t>
    </r>
    <r>
      <rPr>
        <rFont val="Noto Sans CJK SC"/>
        <color theme="1"/>
        <sz val="11.0"/>
      </rPr>
      <t>月中旬</t>
    </r>
  </si>
  <si>
    <r>
      <rPr>
        <rFont val="Arial"/>
        <color theme="1"/>
        <sz val="11.0"/>
      </rPr>
      <t>2026</t>
    </r>
    <r>
      <rPr>
        <rFont val="Noto Sans CJK SC"/>
        <color theme="1"/>
        <sz val="11.0"/>
      </rPr>
      <t>年</t>
    </r>
    <r>
      <rPr>
        <rFont val="Arial"/>
        <color theme="1"/>
        <sz val="11.0"/>
      </rPr>
      <t>9</t>
    </r>
    <r>
      <rPr>
        <rFont val="Noto Sans CJK SC"/>
        <color theme="1"/>
        <sz val="11.0"/>
      </rPr>
      <t>月下旬</t>
    </r>
  </si>
  <si>
    <r>
      <rPr>
        <rFont val="Arial"/>
        <color theme="1"/>
        <sz val="11.0"/>
      </rPr>
      <t xml:space="preserve">1. </t>
    </r>
    <r>
      <rPr>
        <rFont val="Noto Sans CJK SC"/>
        <color theme="1"/>
        <sz val="11.0"/>
      </rPr>
      <t>木材の長期間利用による炭素貯蔵効果の評価手法の検討</t>
    </r>
  </si>
  <si>
    <r>
      <rPr>
        <rFont val="Arial"/>
        <color theme="1"/>
        <sz val="11.0"/>
      </rPr>
      <t xml:space="preserve">(1) </t>
    </r>
    <r>
      <rPr>
        <rFont val="Noto Sans CJK SC"/>
        <color theme="1"/>
        <sz val="11.0"/>
      </rPr>
      <t>フランスのダイナミック</t>
    </r>
    <r>
      <rPr>
        <rFont val="Arial"/>
        <color theme="1"/>
        <sz val="11.0"/>
      </rPr>
      <t>LCA</t>
    </r>
    <r>
      <rPr>
        <rFont val="Noto Sans CJK SC"/>
        <color theme="1"/>
        <sz val="11.0"/>
      </rPr>
      <t>を含む海外での制度事例や検討内容の収集・分析</t>
    </r>
  </si>
  <si>
    <r>
      <rPr>
        <rFont val="Noto Sans CJK SC"/>
        <color theme="1"/>
        <sz val="11.0"/>
      </rPr>
      <t>① フランス</t>
    </r>
    <r>
      <rPr>
        <rFont val="Arial"/>
        <color theme="1"/>
        <sz val="11.0"/>
      </rPr>
      <t>RE2020</t>
    </r>
    <r>
      <rPr>
        <rFont val="Noto Sans CJK SC"/>
        <color theme="1"/>
        <sz val="11.0"/>
      </rPr>
      <t>におけるダイナミック</t>
    </r>
    <r>
      <rPr>
        <rFont val="Arial"/>
        <color theme="1"/>
        <sz val="11.0"/>
      </rPr>
      <t>LCA</t>
    </r>
    <r>
      <rPr>
        <rFont val="Noto Sans CJK SC"/>
        <color theme="1"/>
        <sz val="11.0"/>
      </rPr>
      <t>関連情報の収集・分析</t>
    </r>
  </si>
  <si>
    <r>
      <rPr>
        <rFont val="Arial"/>
        <b/>
        <color theme="1"/>
        <sz val="11.0"/>
      </rPr>
      <t xml:space="preserve">(4) </t>
    </r>
    <r>
      <rPr>
        <rFont val="Noto Sans CJK SC"/>
        <b/>
        <color theme="1"/>
        <sz val="11.0"/>
      </rPr>
      <t>関係機関及び専門家調査</t>
    </r>
  </si>
  <si>
    <r>
      <rPr>
        <rFont val="Noto Sans CJK SC"/>
        <color theme="1"/>
        <sz val="11.0"/>
      </rPr>
      <t>建築及び</t>
    </r>
    <r>
      <rPr>
        <rFont val="Arial"/>
        <color theme="1"/>
        <sz val="11.0"/>
      </rPr>
      <t>LCA</t>
    </r>
    <r>
      <rPr>
        <rFont val="Noto Sans CJK SC"/>
        <color theme="1"/>
        <sz val="11.0"/>
      </rPr>
      <t>関係者へのヒアリング</t>
    </r>
  </si>
  <si>
    <r>
      <rPr>
        <rFont val="Noto Sans CJK SC"/>
        <color theme="1"/>
        <sz val="11.0"/>
      </rPr>
      <t>ダイナミック</t>
    </r>
    <r>
      <rPr>
        <rFont val="Arial"/>
        <color theme="1"/>
        <sz val="11.0"/>
      </rPr>
      <t>LCA</t>
    </r>
    <r>
      <rPr>
        <rFont val="Noto Sans CJK SC"/>
        <color theme="1"/>
        <sz val="11.0"/>
      </rPr>
      <t>導入のメリット・デメリット【メイン</t>
    </r>
    <r>
      <rPr>
        <rFont val="Arial"/>
        <color theme="1"/>
        <sz val="11.0"/>
      </rPr>
      <t>:Web</t>
    </r>
    <r>
      <rPr>
        <rFont val="Noto Sans CJK SC"/>
        <color theme="1"/>
        <sz val="11.0"/>
      </rPr>
      <t>面談】</t>
    </r>
  </si>
  <si>
    <r>
      <rPr>
        <rFont val="Noto Sans CJK SC"/>
        <color theme="1"/>
        <sz val="11.0"/>
      </rPr>
      <t>電子メール・</t>
    </r>
    <r>
      <rPr>
        <rFont val="Arial"/>
        <color theme="1"/>
        <sz val="11.0"/>
      </rPr>
      <t>Web</t>
    </r>
    <r>
      <rPr>
        <rFont val="Noto Sans CJK SC"/>
        <color theme="1"/>
        <sz val="11.0"/>
      </rPr>
      <t>面談ヒアリング</t>
    </r>
  </si>
  <si>
    <r>
      <rPr>
        <rFont val="Arial"/>
        <color theme="1"/>
        <sz val="9.0"/>
      </rPr>
      <t>AI</t>
    </r>
    <r>
      <rPr>
        <rFont val="Noto Sans CJK SC"/>
        <color theme="1"/>
        <sz val="9.0"/>
      </rPr>
      <t>は質問票作成・議事録整理・要約のみ。実施は人間</t>
    </r>
  </si>
  <si>
    <r>
      <rPr>
        <rFont val="Arial"/>
        <color theme="1"/>
        <sz val="11.0"/>
      </rPr>
      <t>2026</t>
    </r>
    <r>
      <rPr>
        <rFont val="Noto Sans CJK SC"/>
        <color theme="1"/>
        <sz val="11.0"/>
      </rPr>
      <t>年</t>
    </r>
    <r>
      <rPr>
        <rFont val="Arial"/>
        <color theme="1"/>
        <sz val="11.0"/>
      </rPr>
      <t>8</t>
    </r>
    <r>
      <rPr>
        <rFont val="Noto Sans CJK SC"/>
        <color theme="1"/>
        <sz val="11.0"/>
      </rPr>
      <t>月中旬</t>
    </r>
  </si>
  <si>
    <r>
      <rPr>
        <rFont val="Arial"/>
        <color theme="1"/>
        <sz val="11.0"/>
      </rPr>
      <t>2026</t>
    </r>
    <r>
      <rPr>
        <rFont val="Noto Sans CJK SC"/>
        <color theme="1"/>
        <sz val="11.0"/>
      </rPr>
      <t>年</t>
    </r>
    <r>
      <rPr>
        <rFont val="Arial"/>
        <color theme="1"/>
        <sz val="11.0"/>
      </rPr>
      <t>10</t>
    </r>
    <r>
      <rPr>
        <rFont val="Noto Sans CJK SC"/>
        <color theme="1"/>
        <sz val="11.0"/>
      </rPr>
      <t>月中旬</t>
    </r>
  </si>
  <si>
    <r>
      <rPr>
        <rFont val="Noto Sans CJK SC"/>
        <color theme="1"/>
        <sz val="9.0"/>
      </rPr>
      <t>通訳費</t>
    </r>
    <r>
      <rPr>
        <rFont val="Arial"/>
        <color theme="1"/>
        <sz val="9.0"/>
      </rPr>
      <t>20,000</t>
    </r>
    <r>
      <rPr>
        <rFont val="Noto Sans CJK SC"/>
        <color theme="1"/>
        <sz val="9.0"/>
      </rPr>
      <t>円</t>
    </r>
    <r>
      <rPr>
        <rFont val="Arial"/>
        <color theme="1"/>
        <sz val="9.0"/>
      </rPr>
      <t>+</t>
    </r>
    <r>
      <rPr>
        <rFont val="Noto Sans CJK SC"/>
        <color theme="1"/>
        <sz val="9.0"/>
      </rPr>
      <t>謝礼</t>
    </r>
    <r>
      <rPr>
        <rFont val="Arial"/>
        <color theme="1"/>
        <sz val="9.0"/>
      </rPr>
      <t>10,000</t>
    </r>
    <r>
      <rPr>
        <rFont val="Noto Sans CJK SC"/>
        <color theme="1"/>
        <sz val="9.0"/>
      </rPr>
      <t>円</t>
    </r>
  </si>
  <si>
    <r>
      <rPr>
        <rFont val="Noto Sans CJK SC"/>
        <i/>
        <color rgb="FF595959"/>
        <sz val="9.0"/>
      </rPr>
      <t>★メイン機関</t>
    </r>
    <r>
      <rPr>
        <rFont val="Arial"/>
        <i/>
        <color rgb="FF595959"/>
        <sz val="9.0"/>
      </rPr>
      <t>(LCA</t>
    </r>
    <r>
      <rPr>
        <rFont val="Noto Sans CJK SC"/>
        <i/>
        <color rgb="FF595959"/>
        <sz val="9.0"/>
      </rPr>
      <t>関係者</t>
    </r>
    <r>
      <rPr>
        <rFont val="Arial"/>
        <i/>
        <color rgb="FF595959"/>
        <sz val="9.0"/>
      </rPr>
      <t>)1</t>
    </r>
    <r>
      <rPr>
        <rFont val="Noto Sans CJK SC"/>
        <i/>
        <color rgb="FF595959"/>
        <sz val="9.0"/>
      </rPr>
      <t>機関に集約。</t>
    </r>
    <r>
      <rPr>
        <rFont val="Arial"/>
        <i/>
        <color rgb="FF595959"/>
        <sz val="9.0"/>
      </rPr>
      <t>Web</t>
    </r>
    <r>
      <rPr>
        <rFont val="Noto Sans CJK SC"/>
        <i/>
        <color rgb="FF595959"/>
        <sz val="9.0"/>
      </rPr>
      <t xml:space="preserve">面談で実施 </t>
    </r>
    <r>
      <rPr>
        <rFont val="Arial"/>
        <i/>
        <color rgb="FF595959"/>
        <sz val="9.0"/>
      </rPr>
      <t>/ Web</t>
    </r>
    <r>
      <rPr>
        <rFont val="Noto Sans CJK SC"/>
        <i/>
        <color rgb="FF595959"/>
        <sz val="9.0"/>
      </rPr>
      <t>面談</t>
    </r>
    <r>
      <rPr>
        <rFont val="Arial"/>
        <i/>
        <color rgb="FF595959"/>
        <sz val="9.0"/>
      </rPr>
      <t>1</t>
    </r>
    <r>
      <rPr>
        <rFont val="Noto Sans CJK SC"/>
        <i/>
        <color rgb="FF595959"/>
        <sz val="9.0"/>
      </rPr>
      <t>セッション約</t>
    </r>
    <r>
      <rPr>
        <rFont val="Arial"/>
        <i/>
        <color rgb="FF595959"/>
        <sz val="9.0"/>
      </rPr>
      <t>60-90</t>
    </r>
    <r>
      <rPr>
        <rFont val="Noto Sans CJK SC"/>
        <i/>
        <color rgb="FF595959"/>
        <sz val="9.0"/>
      </rPr>
      <t>分</t>
    </r>
  </si>
  <si>
    <r>
      <rPr>
        <rFont val="Arial"/>
        <color theme="1"/>
        <sz val="11.0"/>
      </rPr>
      <t xml:space="preserve">1. </t>
    </r>
    <r>
      <rPr>
        <rFont val="Noto Sans CJK SC"/>
        <color theme="1"/>
        <sz val="11.0"/>
      </rPr>
      <t>木材の長期間利用による炭素貯蔵効果の評価手法の検討</t>
    </r>
  </si>
  <si>
    <r>
      <rPr>
        <rFont val="Arial"/>
        <color theme="1"/>
        <sz val="11.0"/>
      </rPr>
      <t xml:space="preserve">(1) </t>
    </r>
    <r>
      <rPr>
        <rFont val="Noto Sans CJK SC"/>
        <color theme="1"/>
        <sz val="11.0"/>
      </rPr>
      <t>フランスのダイナミック</t>
    </r>
    <r>
      <rPr>
        <rFont val="Arial"/>
        <color theme="1"/>
        <sz val="11.0"/>
      </rPr>
      <t>LCA</t>
    </r>
    <r>
      <rPr>
        <rFont val="Noto Sans CJK SC"/>
        <color theme="1"/>
        <sz val="11.0"/>
      </rPr>
      <t>を含む海外での制度事例や検討内容の収集・分析</t>
    </r>
  </si>
  <si>
    <r>
      <rPr>
        <rFont val="Noto Sans CJK SC"/>
        <color theme="1"/>
        <sz val="11.0"/>
      </rPr>
      <t>① フランス</t>
    </r>
    <r>
      <rPr>
        <rFont val="Arial"/>
        <color theme="1"/>
        <sz val="11.0"/>
      </rPr>
      <t>RE2020</t>
    </r>
    <r>
      <rPr>
        <rFont val="Noto Sans CJK SC"/>
        <color theme="1"/>
        <sz val="11.0"/>
      </rPr>
      <t>におけるダイナミック</t>
    </r>
    <r>
      <rPr>
        <rFont val="Arial"/>
        <color theme="1"/>
        <sz val="11.0"/>
      </rPr>
      <t>LCA</t>
    </r>
    <r>
      <rPr>
        <rFont val="Noto Sans CJK SC"/>
        <color theme="1"/>
        <sz val="11.0"/>
      </rPr>
      <t>関連情報の収集・分析</t>
    </r>
  </si>
  <si>
    <r>
      <rPr>
        <rFont val="Arial"/>
        <b/>
        <color theme="1"/>
        <sz val="11.0"/>
      </rPr>
      <t xml:space="preserve">(4) </t>
    </r>
    <r>
      <rPr>
        <rFont val="Noto Sans CJK SC"/>
        <b/>
        <color theme="1"/>
        <sz val="11.0"/>
      </rPr>
      <t>関係機関及び専門家調査</t>
    </r>
  </si>
  <si>
    <r>
      <rPr>
        <rFont val="Noto Sans CJK SC"/>
        <color theme="1"/>
        <sz val="11.0"/>
      </rPr>
      <t>建築及び</t>
    </r>
    <r>
      <rPr>
        <rFont val="Arial"/>
        <color theme="1"/>
        <sz val="11.0"/>
      </rPr>
      <t>LCA</t>
    </r>
    <r>
      <rPr>
        <rFont val="Noto Sans CJK SC"/>
        <color theme="1"/>
        <sz val="11.0"/>
      </rPr>
      <t>関係者へのヒアリング</t>
    </r>
  </si>
  <si>
    <r>
      <rPr>
        <rFont val="Noto Sans CJK SC"/>
        <color theme="1"/>
        <sz val="11.0"/>
      </rPr>
      <t>建築物</t>
    </r>
    <r>
      <rPr>
        <rFont val="Arial"/>
        <color theme="1"/>
        <sz val="11.0"/>
      </rPr>
      <t>LCA</t>
    </r>
    <r>
      <rPr>
        <rFont val="Noto Sans CJK SC"/>
        <color theme="1"/>
        <sz val="11.0"/>
      </rPr>
      <t>の環境整備及び浸透状況【サブ</t>
    </r>
    <r>
      <rPr>
        <rFont val="Arial"/>
        <color theme="1"/>
        <sz val="11.0"/>
      </rPr>
      <t>:</t>
    </r>
    <r>
      <rPr>
        <rFont val="Noto Sans CJK SC"/>
        <color theme="1"/>
        <sz val="11.0"/>
      </rPr>
      <t>メール調査】</t>
    </r>
  </si>
  <si>
    <r>
      <rPr>
        <rFont val="Noto Sans CJK SC"/>
        <color theme="1"/>
        <sz val="11.0"/>
      </rPr>
      <t>電子メール・</t>
    </r>
    <r>
      <rPr>
        <rFont val="Arial"/>
        <color theme="1"/>
        <sz val="11.0"/>
      </rPr>
      <t>Web</t>
    </r>
    <r>
      <rPr>
        <rFont val="Noto Sans CJK SC"/>
        <color theme="1"/>
        <sz val="11.0"/>
      </rPr>
      <t>面談ヒアリング</t>
    </r>
  </si>
  <si>
    <r>
      <rPr>
        <rFont val="Arial"/>
        <color theme="1"/>
        <sz val="9.0"/>
      </rPr>
      <t>AI</t>
    </r>
    <r>
      <rPr>
        <rFont val="Noto Sans CJK SC"/>
        <color theme="1"/>
        <sz val="9.0"/>
      </rPr>
      <t>で質問票作成・回答要約、人間が検証</t>
    </r>
  </si>
  <si>
    <r>
      <rPr>
        <rFont val="Arial"/>
        <color theme="1"/>
        <sz val="11.0"/>
      </rPr>
      <t>2026</t>
    </r>
    <r>
      <rPr>
        <rFont val="Noto Sans CJK SC"/>
        <color theme="1"/>
        <sz val="11.0"/>
      </rPr>
      <t>年</t>
    </r>
    <r>
      <rPr>
        <rFont val="Arial"/>
        <color theme="1"/>
        <sz val="11.0"/>
      </rPr>
      <t>8</t>
    </r>
    <r>
      <rPr>
        <rFont val="Noto Sans CJK SC"/>
        <color theme="1"/>
        <sz val="11.0"/>
      </rPr>
      <t>月中旬</t>
    </r>
  </si>
  <si>
    <r>
      <rPr>
        <rFont val="Arial"/>
        <color theme="1"/>
        <sz val="11.0"/>
      </rPr>
      <t>2026</t>
    </r>
    <r>
      <rPr>
        <rFont val="Noto Sans CJK SC"/>
        <color theme="1"/>
        <sz val="11.0"/>
      </rPr>
      <t>年</t>
    </r>
    <r>
      <rPr>
        <rFont val="Arial"/>
        <color theme="1"/>
        <sz val="11.0"/>
      </rPr>
      <t>10</t>
    </r>
    <r>
      <rPr>
        <rFont val="Noto Sans CJK SC"/>
        <color theme="1"/>
        <sz val="11.0"/>
      </rPr>
      <t>月中旬</t>
    </r>
  </si>
  <si>
    <r>
      <rPr>
        <rFont val="Noto Sans CJK SC"/>
        <color theme="1"/>
        <sz val="9.0"/>
      </rPr>
      <t>翻訳費</t>
    </r>
    <r>
      <rPr>
        <rFont val="Arial"/>
        <color theme="1"/>
        <sz val="9.0"/>
      </rPr>
      <t>10,000</t>
    </r>
    <r>
      <rPr>
        <rFont val="Noto Sans CJK SC"/>
        <color theme="1"/>
        <sz val="9.0"/>
      </rPr>
      <t>円</t>
    </r>
  </si>
  <si>
    <r>
      <rPr>
        <rFont val="Noto Sans CJK SC"/>
        <i/>
        <color rgb="FF595959"/>
        <sz val="9.0"/>
      </rPr>
      <t>メール調査</t>
    </r>
    <r>
      <rPr>
        <rFont val="Arial"/>
        <i/>
        <color rgb="FF595959"/>
        <sz val="9.0"/>
      </rPr>
      <t>+</t>
    </r>
    <r>
      <rPr>
        <rFont val="Noto Sans CJK SC"/>
        <i/>
        <color rgb="FF595959"/>
        <sz val="9.0"/>
      </rPr>
      <t>同一機関の</t>
    </r>
    <r>
      <rPr>
        <rFont val="Arial"/>
        <i/>
        <color rgb="FF595959"/>
        <sz val="9.0"/>
      </rPr>
      <t>Web</t>
    </r>
    <r>
      <rPr>
        <rFont val="Noto Sans CJK SC"/>
        <i/>
        <color rgb="FF595959"/>
        <sz val="9.0"/>
      </rPr>
      <t>面談で統合質問</t>
    </r>
  </si>
  <si>
    <r>
      <rPr>
        <rFont val="Arial"/>
        <color theme="1"/>
        <sz val="11.0"/>
      </rPr>
      <t xml:space="preserve">1. </t>
    </r>
    <r>
      <rPr>
        <rFont val="Noto Sans CJK SC"/>
        <color theme="1"/>
        <sz val="11.0"/>
      </rPr>
      <t>木材の長期間利用による炭素貯蔵効果の評価手法の検討</t>
    </r>
  </si>
  <si>
    <r>
      <rPr>
        <rFont val="Arial"/>
        <color theme="1"/>
        <sz val="11.0"/>
      </rPr>
      <t xml:space="preserve">(1) </t>
    </r>
    <r>
      <rPr>
        <rFont val="Noto Sans CJK SC"/>
        <color theme="1"/>
        <sz val="11.0"/>
      </rPr>
      <t>フランスのダイナミック</t>
    </r>
    <r>
      <rPr>
        <rFont val="Arial"/>
        <color theme="1"/>
        <sz val="11.0"/>
      </rPr>
      <t>LCA</t>
    </r>
    <r>
      <rPr>
        <rFont val="Noto Sans CJK SC"/>
        <color theme="1"/>
        <sz val="11.0"/>
      </rPr>
      <t>を含む海外での制度事例や検討内容の収集・分析</t>
    </r>
  </si>
  <si>
    <r>
      <rPr>
        <rFont val="Noto Sans CJK SC"/>
        <color theme="1"/>
        <sz val="11.0"/>
      </rPr>
      <t>① フランス</t>
    </r>
    <r>
      <rPr>
        <rFont val="Arial"/>
        <color theme="1"/>
        <sz val="11.0"/>
      </rPr>
      <t>RE2020</t>
    </r>
    <r>
      <rPr>
        <rFont val="Noto Sans CJK SC"/>
        <color theme="1"/>
        <sz val="11.0"/>
      </rPr>
      <t>におけるダイナミック</t>
    </r>
    <r>
      <rPr>
        <rFont val="Arial"/>
        <color theme="1"/>
        <sz val="11.0"/>
      </rPr>
      <t>LCA</t>
    </r>
    <r>
      <rPr>
        <rFont val="Noto Sans CJK SC"/>
        <color theme="1"/>
        <sz val="11.0"/>
      </rPr>
      <t>関連情報の収集・分析</t>
    </r>
  </si>
  <si>
    <r>
      <rPr>
        <rFont val="Arial"/>
        <b/>
        <color theme="1"/>
        <sz val="11.0"/>
      </rPr>
      <t xml:space="preserve">(4) </t>
    </r>
    <r>
      <rPr>
        <rFont val="Noto Sans CJK SC"/>
        <b/>
        <color theme="1"/>
        <sz val="11.0"/>
      </rPr>
      <t>関係機関及び専門家調査</t>
    </r>
  </si>
  <si>
    <r>
      <rPr>
        <rFont val="Noto Sans CJK SC"/>
        <color theme="1"/>
        <sz val="11.0"/>
      </rPr>
      <t>建築及び</t>
    </r>
    <r>
      <rPr>
        <rFont val="Arial"/>
        <color theme="1"/>
        <sz val="11.0"/>
      </rPr>
      <t>LCA</t>
    </r>
    <r>
      <rPr>
        <rFont val="Noto Sans CJK SC"/>
        <color theme="1"/>
        <sz val="11.0"/>
      </rPr>
      <t>関係者へのヒアリング</t>
    </r>
  </si>
  <si>
    <r>
      <rPr>
        <rFont val="Noto Sans CJK SC"/>
        <color theme="1"/>
        <sz val="11.0"/>
      </rPr>
      <t>制度運用上の留意点【サブ</t>
    </r>
    <r>
      <rPr>
        <rFont val="Arial"/>
        <color theme="1"/>
        <sz val="11.0"/>
      </rPr>
      <t>:</t>
    </r>
    <r>
      <rPr>
        <rFont val="Noto Sans CJK SC"/>
        <color theme="1"/>
        <sz val="11.0"/>
      </rPr>
      <t>メール調査】</t>
    </r>
  </si>
  <si>
    <r>
      <rPr>
        <rFont val="Noto Sans CJK SC"/>
        <color theme="1"/>
        <sz val="11.0"/>
      </rPr>
      <t>電子メール・</t>
    </r>
    <r>
      <rPr>
        <rFont val="Arial"/>
        <color theme="1"/>
        <sz val="11.0"/>
      </rPr>
      <t>Web</t>
    </r>
    <r>
      <rPr>
        <rFont val="Noto Sans CJK SC"/>
        <color theme="1"/>
        <sz val="11.0"/>
      </rPr>
      <t>面談ヒアリング</t>
    </r>
  </si>
  <si>
    <r>
      <rPr>
        <rFont val="Arial"/>
        <color theme="1"/>
        <sz val="9.0"/>
      </rPr>
      <t>AI</t>
    </r>
    <r>
      <rPr>
        <rFont val="Noto Sans CJK SC"/>
        <color theme="1"/>
        <sz val="9.0"/>
      </rPr>
      <t>で質問票作成・回答要約、人間が検証</t>
    </r>
  </si>
  <si>
    <r>
      <rPr>
        <rFont val="Arial"/>
        <color theme="1"/>
        <sz val="11.0"/>
      </rPr>
      <t>2026</t>
    </r>
    <r>
      <rPr>
        <rFont val="Noto Sans CJK SC"/>
        <color theme="1"/>
        <sz val="11.0"/>
      </rPr>
      <t>年</t>
    </r>
    <r>
      <rPr>
        <rFont val="Arial"/>
        <color theme="1"/>
        <sz val="11.0"/>
      </rPr>
      <t>8</t>
    </r>
    <r>
      <rPr>
        <rFont val="Noto Sans CJK SC"/>
        <color theme="1"/>
        <sz val="11.0"/>
      </rPr>
      <t>月中旬</t>
    </r>
  </si>
  <si>
    <r>
      <rPr>
        <rFont val="Arial"/>
        <color theme="1"/>
        <sz val="11.0"/>
      </rPr>
      <t>2026</t>
    </r>
    <r>
      <rPr>
        <rFont val="Noto Sans CJK SC"/>
        <color theme="1"/>
        <sz val="11.0"/>
      </rPr>
      <t>年</t>
    </r>
    <r>
      <rPr>
        <rFont val="Arial"/>
        <color theme="1"/>
        <sz val="11.0"/>
      </rPr>
      <t>10</t>
    </r>
    <r>
      <rPr>
        <rFont val="Noto Sans CJK SC"/>
        <color theme="1"/>
        <sz val="11.0"/>
      </rPr>
      <t>月中旬</t>
    </r>
  </si>
  <si>
    <r>
      <rPr>
        <rFont val="Noto Sans CJK SC"/>
        <color theme="1"/>
        <sz val="9.0"/>
      </rPr>
      <t>翻訳費</t>
    </r>
    <r>
      <rPr>
        <rFont val="Arial"/>
        <color theme="1"/>
        <sz val="9.0"/>
      </rPr>
      <t>10,000</t>
    </r>
    <r>
      <rPr>
        <rFont val="Noto Sans CJK SC"/>
        <color theme="1"/>
        <sz val="9.0"/>
      </rPr>
      <t>円</t>
    </r>
  </si>
  <si>
    <r>
      <rPr>
        <rFont val="Noto Sans CJK SC"/>
        <i/>
        <color rgb="FF595959"/>
        <sz val="9.0"/>
      </rPr>
      <t>メール調査</t>
    </r>
    <r>
      <rPr>
        <rFont val="Arial"/>
        <i/>
        <color rgb="FF595959"/>
        <sz val="9.0"/>
      </rPr>
      <t>+</t>
    </r>
    <r>
      <rPr>
        <rFont val="Noto Sans CJK SC"/>
        <i/>
        <color rgb="FF595959"/>
        <sz val="9.0"/>
      </rPr>
      <t>同一機関の</t>
    </r>
    <r>
      <rPr>
        <rFont val="Arial"/>
        <i/>
        <color rgb="FF595959"/>
        <sz val="9.0"/>
      </rPr>
      <t>Web</t>
    </r>
    <r>
      <rPr>
        <rFont val="Noto Sans CJK SC"/>
        <i/>
        <color rgb="FF595959"/>
        <sz val="9.0"/>
      </rPr>
      <t>面談で統合質問</t>
    </r>
  </si>
  <si>
    <r>
      <rPr>
        <rFont val="Arial"/>
        <color theme="1"/>
        <sz val="11.0"/>
      </rPr>
      <t xml:space="preserve">1. </t>
    </r>
    <r>
      <rPr>
        <rFont val="Noto Sans CJK SC"/>
        <color theme="1"/>
        <sz val="11.0"/>
      </rPr>
      <t>木材の長期間利用による炭素貯蔵効果の評価手法の検討</t>
    </r>
  </si>
  <si>
    <r>
      <rPr>
        <rFont val="Arial"/>
        <color theme="1"/>
        <sz val="11.0"/>
      </rPr>
      <t xml:space="preserve">(1) </t>
    </r>
    <r>
      <rPr>
        <rFont val="Noto Sans CJK SC"/>
        <color theme="1"/>
        <sz val="11.0"/>
      </rPr>
      <t>フランスのダイナミック</t>
    </r>
    <r>
      <rPr>
        <rFont val="Arial"/>
        <color theme="1"/>
        <sz val="11.0"/>
      </rPr>
      <t>LCA</t>
    </r>
    <r>
      <rPr>
        <rFont val="Noto Sans CJK SC"/>
        <color theme="1"/>
        <sz val="11.0"/>
      </rPr>
      <t>を含む海外での制度事例や検討内容の収集・分析</t>
    </r>
  </si>
  <si>
    <r>
      <rPr>
        <rFont val="Noto Sans CJK SC"/>
        <color theme="1"/>
        <sz val="11.0"/>
      </rPr>
      <t>① フランス</t>
    </r>
    <r>
      <rPr>
        <rFont val="Arial"/>
        <color theme="1"/>
        <sz val="11.0"/>
      </rPr>
      <t>RE2020</t>
    </r>
    <r>
      <rPr>
        <rFont val="Noto Sans CJK SC"/>
        <color theme="1"/>
        <sz val="11.0"/>
      </rPr>
      <t>におけるダイナミック</t>
    </r>
    <r>
      <rPr>
        <rFont val="Arial"/>
        <color theme="1"/>
        <sz val="11.0"/>
      </rPr>
      <t>LCA</t>
    </r>
    <r>
      <rPr>
        <rFont val="Noto Sans CJK SC"/>
        <color theme="1"/>
        <sz val="11.0"/>
      </rPr>
      <t>関連情報の収集・分析</t>
    </r>
  </si>
  <si>
    <r>
      <rPr>
        <rFont val="Arial"/>
        <b/>
        <color theme="1"/>
        <sz val="11.0"/>
      </rPr>
      <t xml:space="preserve">(4) </t>
    </r>
    <r>
      <rPr>
        <rFont val="Noto Sans CJK SC"/>
        <b/>
        <color theme="1"/>
        <sz val="11.0"/>
      </rPr>
      <t>関係機関及び専門家調査</t>
    </r>
  </si>
  <si>
    <r>
      <rPr>
        <rFont val="Arial"/>
        <color theme="1"/>
        <sz val="11.0"/>
      </rPr>
      <t>EPD</t>
    </r>
    <r>
      <rPr>
        <rFont val="Noto Sans CJK SC"/>
        <color theme="1"/>
        <sz val="11.0"/>
      </rPr>
      <t>プログラム運営機関へのヒアリング</t>
    </r>
  </si>
  <si>
    <r>
      <rPr>
        <rFont val="Arial"/>
        <color theme="1"/>
        <sz val="11.0"/>
      </rPr>
      <t>EPD</t>
    </r>
    <r>
      <rPr>
        <rFont val="Noto Sans CJK SC"/>
        <color theme="1"/>
        <sz val="11.0"/>
      </rPr>
      <t>（建材及び建築物）のダイナミック</t>
    </r>
    <r>
      <rPr>
        <rFont val="Arial"/>
        <color theme="1"/>
        <sz val="11.0"/>
      </rPr>
      <t>LCA</t>
    </r>
    <r>
      <rPr>
        <rFont val="Noto Sans CJK SC"/>
        <color theme="1"/>
        <sz val="11.0"/>
      </rPr>
      <t>対応状況【メイン</t>
    </r>
    <r>
      <rPr>
        <rFont val="Arial"/>
        <color theme="1"/>
        <sz val="11.0"/>
      </rPr>
      <t>:Web</t>
    </r>
    <r>
      <rPr>
        <rFont val="Noto Sans CJK SC"/>
        <color theme="1"/>
        <sz val="11.0"/>
      </rPr>
      <t>面談】</t>
    </r>
  </si>
  <si>
    <r>
      <rPr>
        <rFont val="Noto Sans CJK SC"/>
        <color theme="1"/>
        <sz val="11.0"/>
      </rPr>
      <t>電子メール・</t>
    </r>
    <r>
      <rPr>
        <rFont val="Arial"/>
        <color theme="1"/>
        <sz val="11.0"/>
      </rPr>
      <t>Web</t>
    </r>
    <r>
      <rPr>
        <rFont val="Noto Sans CJK SC"/>
        <color theme="1"/>
        <sz val="11.0"/>
      </rPr>
      <t>面談ヒアリング</t>
    </r>
  </si>
  <si>
    <r>
      <rPr>
        <rFont val="Arial"/>
        <color theme="1"/>
        <sz val="9.0"/>
      </rPr>
      <t>AI</t>
    </r>
    <r>
      <rPr>
        <rFont val="Noto Sans CJK SC"/>
        <color theme="1"/>
        <sz val="9.0"/>
      </rPr>
      <t>は質問票作成・議事録整理・要約のみ。実施は人間</t>
    </r>
  </si>
  <si>
    <r>
      <rPr>
        <rFont val="Arial"/>
        <color theme="1"/>
        <sz val="11.0"/>
      </rPr>
      <t>2026</t>
    </r>
    <r>
      <rPr>
        <rFont val="Noto Sans CJK SC"/>
        <color theme="1"/>
        <sz val="11.0"/>
      </rPr>
      <t>年</t>
    </r>
    <r>
      <rPr>
        <rFont val="Arial"/>
        <color theme="1"/>
        <sz val="11.0"/>
      </rPr>
      <t>8</t>
    </r>
    <r>
      <rPr>
        <rFont val="Noto Sans CJK SC"/>
        <color theme="1"/>
        <sz val="11.0"/>
      </rPr>
      <t>月中旬</t>
    </r>
  </si>
  <si>
    <r>
      <rPr>
        <rFont val="Arial"/>
        <color theme="1"/>
        <sz val="11.0"/>
      </rPr>
      <t>2026</t>
    </r>
    <r>
      <rPr>
        <rFont val="Noto Sans CJK SC"/>
        <color theme="1"/>
        <sz val="11.0"/>
      </rPr>
      <t>年</t>
    </r>
    <r>
      <rPr>
        <rFont val="Arial"/>
        <color theme="1"/>
        <sz val="11.0"/>
      </rPr>
      <t>10</t>
    </r>
    <r>
      <rPr>
        <rFont val="Noto Sans CJK SC"/>
        <color theme="1"/>
        <sz val="11.0"/>
      </rPr>
      <t>月中旬</t>
    </r>
  </si>
  <si>
    <r>
      <rPr>
        <rFont val="Noto Sans CJK SC"/>
        <color theme="1"/>
        <sz val="9.0"/>
      </rPr>
      <t>通訳費</t>
    </r>
    <r>
      <rPr>
        <rFont val="Arial"/>
        <color theme="1"/>
        <sz val="9.0"/>
      </rPr>
      <t>20,000</t>
    </r>
    <r>
      <rPr>
        <rFont val="Noto Sans CJK SC"/>
        <color theme="1"/>
        <sz val="9.0"/>
      </rPr>
      <t>円</t>
    </r>
    <r>
      <rPr>
        <rFont val="Arial"/>
        <color theme="1"/>
        <sz val="9.0"/>
      </rPr>
      <t>+</t>
    </r>
    <r>
      <rPr>
        <rFont val="Noto Sans CJK SC"/>
        <color theme="1"/>
        <sz val="9.0"/>
      </rPr>
      <t>謝礼</t>
    </r>
    <r>
      <rPr>
        <rFont val="Arial"/>
        <color theme="1"/>
        <sz val="9.0"/>
      </rPr>
      <t>10,000</t>
    </r>
    <r>
      <rPr>
        <rFont val="Noto Sans CJK SC"/>
        <color theme="1"/>
        <sz val="9.0"/>
      </rPr>
      <t>円</t>
    </r>
  </si>
  <si>
    <r>
      <rPr>
        <rFont val="Noto Sans CJK SC"/>
        <i/>
        <color rgb="FF595959"/>
        <sz val="9.0"/>
      </rPr>
      <t>★メイン機関</t>
    </r>
    <r>
      <rPr>
        <rFont val="Arial"/>
        <i/>
        <color rgb="FF595959"/>
        <sz val="9.0"/>
      </rPr>
      <t>(EPD</t>
    </r>
    <r>
      <rPr>
        <rFont val="Noto Sans CJK SC"/>
        <i/>
        <color rgb="FF595959"/>
        <sz val="9.0"/>
      </rPr>
      <t>運営機関</t>
    </r>
    <r>
      <rPr>
        <rFont val="Arial"/>
        <i/>
        <color rgb="FF595959"/>
        <sz val="9.0"/>
      </rPr>
      <t>)1</t>
    </r>
    <r>
      <rPr>
        <rFont val="Noto Sans CJK SC"/>
        <i/>
        <color rgb="FF595959"/>
        <sz val="9.0"/>
      </rPr>
      <t>機関に集約。</t>
    </r>
    <r>
      <rPr>
        <rFont val="Arial"/>
        <i/>
        <color rgb="FF595959"/>
        <sz val="9.0"/>
      </rPr>
      <t>Web</t>
    </r>
    <r>
      <rPr>
        <rFont val="Noto Sans CJK SC"/>
        <i/>
        <color rgb="FF595959"/>
        <sz val="9.0"/>
      </rPr>
      <t xml:space="preserve">面談で実施 </t>
    </r>
    <r>
      <rPr>
        <rFont val="Arial"/>
        <i/>
        <color rgb="FF595959"/>
        <sz val="9.0"/>
      </rPr>
      <t>/ Web</t>
    </r>
    <r>
      <rPr>
        <rFont val="Noto Sans CJK SC"/>
        <i/>
        <color rgb="FF595959"/>
        <sz val="9.0"/>
      </rPr>
      <t>面談</t>
    </r>
    <r>
      <rPr>
        <rFont val="Arial"/>
        <i/>
        <color rgb="FF595959"/>
        <sz val="9.0"/>
      </rPr>
      <t>1</t>
    </r>
    <r>
      <rPr>
        <rFont val="Noto Sans CJK SC"/>
        <i/>
        <color rgb="FF595959"/>
        <sz val="9.0"/>
      </rPr>
      <t>セッション約</t>
    </r>
    <r>
      <rPr>
        <rFont val="Arial"/>
        <i/>
        <color rgb="FF595959"/>
        <sz val="9.0"/>
      </rPr>
      <t>60-90</t>
    </r>
    <r>
      <rPr>
        <rFont val="Noto Sans CJK SC"/>
        <i/>
        <color rgb="FF595959"/>
        <sz val="9.0"/>
      </rPr>
      <t>分</t>
    </r>
  </si>
  <si>
    <r>
      <rPr>
        <rFont val="Arial"/>
        <color theme="1"/>
        <sz val="11.0"/>
      </rPr>
      <t xml:space="preserve">1. </t>
    </r>
    <r>
      <rPr>
        <rFont val="Noto Sans CJK SC"/>
        <color theme="1"/>
        <sz val="11.0"/>
      </rPr>
      <t>木材の長期間利用による炭素貯蔵効果の評価手法の検討</t>
    </r>
  </si>
  <si>
    <r>
      <rPr>
        <rFont val="Arial"/>
        <color theme="1"/>
        <sz val="11.0"/>
      </rPr>
      <t xml:space="preserve">(1) </t>
    </r>
    <r>
      <rPr>
        <rFont val="Noto Sans CJK SC"/>
        <color theme="1"/>
        <sz val="11.0"/>
      </rPr>
      <t>フランスのダイナミック</t>
    </r>
    <r>
      <rPr>
        <rFont val="Arial"/>
        <color theme="1"/>
        <sz val="11.0"/>
      </rPr>
      <t>LCA</t>
    </r>
    <r>
      <rPr>
        <rFont val="Noto Sans CJK SC"/>
        <color theme="1"/>
        <sz val="11.0"/>
      </rPr>
      <t>を含む海外での制度事例や検討内容の収集・分析</t>
    </r>
  </si>
  <si>
    <r>
      <rPr>
        <rFont val="Noto Sans CJK SC"/>
        <color theme="1"/>
        <sz val="11.0"/>
      </rPr>
      <t>① フランス</t>
    </r>
    <r>
      <rPr>
        <rFont val="Arial"/>
        <color theme="1"/>
        <sz val="11.0"/>
      </rPr>
      <t>RE2020</t>
    </r>
    <r>
      <rPr>
        <rFont val="Noto Sans CJK SC"/>
        <color theme="1"/>
        <sz val="11.0"/>
      </rPr>
      <t>におけるダイナミック</t>
    </r>
    <r>
      <rPr>
        <rFont val="Arial"/>
        <color theme="1"/>
        <sz val="11.0"/>
      </rPr>
      <t>LCA</t>
    </r>
    <r>
      <rPr>
        <rFont val="Noto Sans CJK SC"/>
        <color theme="1"/>
        <sz val="11.0"/>
      </rPr>
      <t>関連情報の収集・分析</t>
    </r>
  </si>
  <si>
    <r>
      <rPr>
        <rFont val="Arial"/>
        <b/>
        <color theme="1"/>
        <sz val="11.0"/>
      </rPr>
      <t xml:space="preserve">(4) </t>
    </r>
    <r>
      <rPr>
        <rFont val="Noto Sans CJK SC"/>
        <b/>
        <color theme="1"/>
        <sz val="11.0"/>
      </rPr>
      <t>関係機関及び専門家調査</t>
    </r>
  </si>
  <si>
    <r>
      <rPr>
        <rFont val="Arial"/>
        <color theme="1"/>
        <sz val="11.0"/>
      </rPr>
      <t>EPD</t>
    </r>
    <r>
      <rPr>
        <rFont val="Noto Sans CJK SC"/>
        <color theme="1"/>
        <sz val="11.0"/>
      </rPr>
      <t>プログラム運営機関へのヒアリング</t>
    </r>
  </si>
  <si>
    <r>
      <rPr>
        <rFont val="Noto Sans CJK SC"/>
        <color theme="1"/>
        <sz val="11.0"/>
      </rPr>
      <t>エンドオブライフに係るシナリオの整備状況【サブ</t>
    </r>
    <r>
      <rPr>
        <rFont val="Arial"/>
        <color theme="1"/>
        <sz val="11.0"/>
      </rPr>
      <t>:</t>
    </r>
    <r>
      <rPr>
        <rFont val="Noto Sans CJK SC"/>
        <color theme="1"/>
        <sz val="11.0"/>
      </rPr>
      <t>メール調査】</t>
    </r>
  </si>
  <si>
    <r>
      <rPr>
        <rFont val="Noto Sans CJK SC"/>
        <color theme="1"/>
        <sz val="11.0"/>
      </rPr>
      <t>電子メール・</t>
    </r>
    <r>
      <rPr>
        <rFont val="Arial"/>
        <color theme="1"/>
        <sz val="11.0"/>
      </rPr>
      <t>Web</t>
    </r>
    <r>
      <rPr>
        <rFont val="Noto Sans CJK SC"/>
        <color theme="1"/>
        <sz val="11.0"/>
      </rPr>
      <t>面談ヒアリング</t>
    </r>
  </si>
  <si>
    <r>
      <rPr>
        <rFont val="Arial"/>
        <color theme="1"/>
        <sz val="9.0"/>
      </rPr>
      <t>AI</t>
    </r>
    <r>
      <rPr>
        <rFont val="Noto Sans CJK SC"/>
        <color theme="1"/>
        <sz val="9.0"/>
      </rPr>
      <t>で質問票作成・回答要約、人間が検証</t>
    </r>
  </si>
  <si>
    <r>
      <rPr>
        <rFont val="Arial"/>
        <color theme="1"/>
        <sz val="11.0"/>
      </rPr>
      <t>2026</t>
    </r>
    <r>
      <rPr>
        <rFont val="Noto Sans CJK SC"/>
        <color theme="1"/>
        <sz val="11.0"/>
      </rPr>
      <t>年</t>
    </r>
    <r>
      <rPr>
        <rFont val="Arial"/>
        <color theme="1"/>
        <sz val="11.0"/>
      </rPr>
      <t>8</t>
    </r>
    <r>
      <rPr>
        <rFont val="Noto Sans CJK SC"/>
        <color theme="1"/>
        <sz val="11.0"/>
      </rPr>
      <t>月中旬</t>
    </r>
  </si>
  <si>
    <r>
      <rPr>
        <rFont val="Arial"/>
        <color theme="1"/>
        <sz val="11.0"/>
      </rPr>
      <t>2026</t>
    </r>
    <r>
      <rPr>
        <rFont val="Noto Sans CJK SC"/>
        <color theme="1"/>
        <sz val="11.0"/>
      </rPr>
      <t>年</t>
    </r>
    <r>
      <rPr>
        <rFont val="Arial"/>
        <color theme="1"/>
        <sz val="11.0"/>
      </rPr>
      <t>10</t>
    </r>
    <r>
      <rPr>
        <rFont val="Noto Sans CJK SC"/>
        <color theme="1"/>
        <sz val="11.0"/>
      </rPr>
      <t>月中旬</t>
    </r>
  </si>
  <si>
    <r>
      <rPr>
        <rFont val="Noto Sans CJK SC"/>
        <color theme="1"/>
        <sz val="9.0"/>
      </rPr>
      <t>翻訳費</t>
    </r>
    <r>
      <rPr>
        <rFont val="Arial"/>
        <color theme="1"/>
        <sz val="9.0"/>
      </rPr>
      <t>10,000</t>
    </r>
    <r>
      <rPr>
        <rFont val="Noto Sans CJK SC"/>
        <color theme="1"/>
        <sz val="9.0"/>
      </rPr>
      <t>円</t>
    </r>
  </si>
  <si>
    <r>
      <rPr>
        <rFont val="Noto Sans CJK SC"/>
        <i/>
        <color rgb="FF595959"/>
        <sz val="9.0"/>
      </rPr>
      <t>同一機関の</t>
    </r>
    <r>
      <rPr>
        <rFont val="Arial"/>
        <i/>
        <color rgb="FF595959"/>
        <sz val="9.0"/>
      </rPr>
      <t>Web</t>
    </r>
    <r>
      <rPr>
        <rFont val="Noto Sans CJK SC"/>
        <i/>
        <color rgb="FF595959"/>
        <sz val="9.0"/>
      </rPr>
      <t xml:space="preserve">面談で統合質問 </t>
    </r>
    <r>
      <rPr>
        <rFont val="Arial"/>
        <i/>
        <color rgb="FF595959"/>
        <sz val="9.0"/>
      </rPr>
      <t>/ Web</t>
    </r>
    <r>
      <rPr>
        <rFont val="Noto Sans CJK SC"/>
        <i/>
        <color rgb="FF595959"/>
        <sz val="9.0"/>
      </rPr>
      <t>面談</t>
    </r>
    <r>
      <rPr>
        <rFont val="Arial"/>
        <i/>
        <color rgb="FF595959"/>
        <sz val="9.0"/>
      </rPr>
      <t>1</t>
    </r>
    <r>
      <rPr>
        <rFont val="Noto Sans CJK SC"/>
        <i/>
        <color rgb="FF595959"/>
        <sz val="9.0"/>
      </rPr>
      <t>セッション約</t>
    </r>
    <r>
      <rPr>
        <rFont val="Arial"/>
        <i/>
        <color rgb="FF595959"/>
        <sz val="9.0"/>
      </rPr>
      <t>60-90</t>
    </r>
    <r>
      <rPr>
        <rFont val="Noto Sans CJK SC"/>
        <i/>
        <color rgb="FF595959"/>
        <sz val="9.0"/>
      </rPr>
      <t>分</t>
    </r>
  </si>
  <si>
    <r>
      <rPr>
        <rFont val="Arial"/>
        <color theme="1"/>
        <sz val="11.0"/>
      </rPr>
      <t xml:space="preserve">1. </t>
    </r>
    <r>
      <rPr>
        <rFont val="Noto Sans CJK SC"/>
        <color theme="1"/>
        <sz val="11.0"/>
      </rPr>
      <t>木材の長期間利用による炭素貯蔵効果の評価手法の検討</t>
    </r>
  </si>
  <si>
    <r>
      <rPr>
        <rFont val="Arial"/>
        <color theme="1"/>
        <sz val="11.0"/>
      </rPr>
      <t xml:space="preserve">(1) </t>
    </r>
    <r>
      <rPr>
        <rFont val="Noto Sans CJK SC"/>
        <color theme="1"/>
        <sz val="11.0"/>
      </rPr>
      <t>フランスのダイナミック</t>
    </r>
    <r>
      <rPr>
        <rFont val="Arial"/>
        <color theme="1"/>
        <sz val="11.0"/>
      </rPr>
      <t>LCA</t>
    </r>
    <r>
      <rPr>
        <rFont val="Noto Sans CJK SC"/>
        <color theme="1"/>
        <sz val="11.0"/>
      </rPr>
      <t>を含む海外での制度事例や検討内容の収集・分析</t>
    </r>
  </si>
  <si>
    <r>
      <rPr>
        <rFont val="Noto Sans CJK SC"/>
        <color theme="1"/>
        <sz val="11.0"/>
      </rPr>
      <t>① フランス</t>
    </r>
    <r>
      <rPr>
        <rFont val="Arial"/>
        <color theme="1"/>
        <sz val="11.0"/>
      </rPr>
      <t>RE2020</t>
    </r>
    <r>
      <rPr>
        <rFont val="Noto Sans CJK SC"/>
        <color theme="1"/>
        <sz val="11.0"/>
      </rPr>
      <t>におけるダイナミック</t>
    </r>
    <r>
      <rPr>
        <rFont val="Arial"/>
        <color theme="1"/>
        <sz val="11.0"/>
      </rPr>
      <t>LCA</t>
    </r>
    <r>
      <rPr>
        <rFont val="Noto Sans CJK SC"/>
        <color theme="1"/>
        <sz val="11.0"/>
      </rPr>
      <t>関連情報の収集・分析</t>
    </r>
  </si>
  <si>
    <r>
      <rPr>
        <rFont val="Arial"/>
        <b/>
        <color theme="1"/>
        <sz val="11.0"/>
      </rPr>
      <t xml:space="preserve">(4) </t>
    </r>
    <r>
      <rPr>
        <rFont val="Noto Sans CJK SC"/>
        <b/>
        <color theme="1"/>
        <sz val="11.0"/>
      </rPr>
      <t>関係機関及び専門家調査</t>
    </r>
  </si>
  <si>
    <r>
      <rPr>
        <rFont val="Arial"/>
        <color theme="1"/>
        <sz val="11.0"/>
      </rPr>
      <t>EPD</t>
    </r>
    <r>
      <rPr>
        <rFont val="Noto Sans CJK SC"/>
        <color theme="1"/>
        <sz val="11.0"/>
      </rPr>
      <t>プログラム運営機関へのヒアリング</t>
    </r>
  </si>
  <si>
    <r>
      <rPr>
        <rFont val="Noto Sans CJK SC"/>
        <color theme="1"/>
        <sz val="11.0"/>
      </rPr>
      <t>実務上の課題【サブ</t>
    </r>
    <r>
      <rPr>
        <rFont val="Arial"/>
        <color theme="1"/>
        <sz val="11.0"/>
      </rPr>
      <t>:</t>
    </r>
    <r>
      <rPr>
        <rFont val="Noto Sans CJK SC"/>
        <color theme="1"/>
        <sz val="11.0"/>
      </rPr>
      <t>メール調査】</t>
    </r>
  </si>
  <si>
    <r>
      <rPr>
        <rFont val="Noto Sans CJK SC"/>
        <color theme="1"/>
        <sz val="11.0"/>
      </rPr>
      <t>電子メール・</t>
    </r>
    <r>
      <rPr>
        <rFont val="Arial"/>
        <color theme="1"/>
        <sz val="11.0"/>
      </rPr>
      <t>Web</t>
    </r>
    <r>
      <rPr>
        <rFont val="Noto Sans CJK SC"/>
        <color theme="1"/>
        <sz val="11.0"/>
      </rPr>
      <t>面談ヒアリング</t>
    </r>
  </si>
  <si>
    <r>
      <rPr>
        <rFont val="Arial"/>
        <color theme="1"/>
        <sz val="9.0"/>
      </rPr>
      <t>AI</t>
    </r>
    <r>
      <rPr>
        <rFont val="Noto Sans CJK SC"/>
        <color theme="1"/>
        <sz val="9.0"/>
      </rPr>
      <t>で質問票作成・回答要約、人間が検証</t>
    </r>
  </si>
  <si>
    <r>
      <rPr>
        <rFont val="Arial"/>
        <color theme="1"/>
        <sz val="11.0"/>
      </rPr>
      <t>2026</t>
    </r>
    <r>
      <rPr>
        <rFont val="Noto Sans CJK SC"/>
        <color theme="1"/>
        <sz val="11.0"/>
      </rPr>
      <t>年</t>
    </r>
    <r>
      <rPr>
        <rFont val="Arial"/>
        <color theme="1"/>
        <sz val="11.0"/>
      </rPr>
      <t>8</t>
    </r>
    <r>
      <rPr>
        <rFont val="Noto Sans CJK SC"/>
        <color theme="1"/>
        <sz val="11.0"/>
      </rPr>
      <t>月中旬</t>
    </r>
  </si>
  <si>
    <r>
      <rPr>
        <rFont val="Arial"/>
        <color theme="1"/>
        <sz val="11.0"/>
      </rPr>
      <t>2026</t>
    </r>
    <r>
      <rPr>
        <rFont val="Noto Sans CJK SC"/>
        <color theme="1"/>
        <sz val="11.0"/>
      </rPr>
      <t>年</t>
    </r>
    <r>
      <rPr>
        <rFont val="Arial"/>
        <color theme="1"/>
        <sz val="11.0"/>
      </rPr>
      <t>10</t>
    </r>
    <r>
      <rPr>
        <rFont val="Noto Sans CJK SC"/>
        <color theme="1"/>
        <sz val="11.0"/>
      </rPr>
      <t>月中旬</t>
    </r>
  </si>
  <si>
    <r>
      <rPr>
        <rFont val="Noto Sans CJK SC"/>
        <color theme="1"/>
        <sz val="9.0"/>
      </rPr>
      <t>翻訳費</t>
    </r>
    <r>
      <rPr>
        <rFont val="Arial"/>
        <color theme="1"/>
        <sz val="9.0"/>
      </rPr>
      <t>10,000</t>
    </r>
    <r>
      <rPr>
        <rFont val="Noto Sans CJK SC"/>
        <color theme="1"/>
        <sz val="9.0"/>
      </rPr>
      <t>円</t>
    </r>
  </si>
  <si>
    <r>
      <rPr>
        <rFont val="Noto Sans CJK SC"/>
        <i/>
        <color rgb="FF595959"/>
        <sz val="9.0"/>
      </rPr>
      <t>同一機関の</t>
    </r>
    <r>
      <rPr>
        <rFont val="Arial"/>
        <i/>
        <color rgb="FF595959"/>
        <sz val="9.0"/>
      </rPr>
      <t>Web</t>
    </r>
    <r>
      <rPr>
        <rFont val="Noto Sans CJK SC"/>
        <i/>
        <color rgb="FF595959"/>
        <sz val="9.0"/>
      </rPr>
      <t xml:space="preserve">面談で統合質問 </t>
    </r>
    <r>
      <rPr>
        <rFont val="Arial"/>
        <i/>
        <color rgb="FF595959"/>
        <sz val="9.0"/>
      </rPr>
      <t>/ Web</t>
    </r>
    <r>
      <rPr>
        <rFont val="Noto Sans CJK SC"/>
        <i/>
        <color rgb="FF595959"/>
        <sz val="9.0"/>
      </rPr>
      <t>面談</t>
    </r>
    <r>
      <rPr>
        <rFont val="Arial"/>
        <i/>
        <color rgb="FF595959"/>
        <sz val="9.0"/>
      </rPr>
      <t>1</t>
    </r>
    <r>
      <rPr>
        <rFont val="Noto Sans CJK SC"/>
        <i/>
        <color rgb="FF595959"/>
        <sz val="9.0"/>
      </rPr>
      <t>セッション約</t>
    </r>
    <r>
      <rPr>
        <rFont val="Arial"/>
        <i/>
        <color rgb="FF595959"/>
        <sz val="9.0"/>
      </rPr>
      <t>60-90</t>
    </r>
    <r>
      <rPr>
        <rFont val="Noto Sans CJK SC"/>
        <i/>
        <color rgb="FF595959"/>
        <sz val="9.0"/>
      </rPr>
      <t>分</t>
    </r>
  </si>
  <si>
    <r>
      <rPr>
        <rFont val="Arial"/>
        <color theme="1"/>
        <sz val="11.0"/>
      </rPr>
      <t xml:space="preserve">1. </t>
    </r>
    <r>
      <rPr>
        <rFont val="Noto Sans CJK SC"/>
        <color theme="1"/>
        <sz val="11.0"/>
      </rPr>
      <t>木材の長期間利用による炭素貯蔵効果の評価手法の検討</t>
    </r>
  </si>
  <si>
    <r>
      <rPr>
        <rFont val="Arial"/>
        <color theme="1"/>
        <sz val="11.0"/>
      </rPr>
      <t xml:space="preserve">(1) </t>
    </r>
    <r>
      <rPr>
        <rFont val="Noto Sans CJK SC"/>
        <color theme="1"/>
        <sz val="11.0"/>
      </rPr>
      <t>フランスのダイナミック</t>
    </r>
    <r>
      <rPr>
        <rFont val="Arial"/>
        <color theme="1"/>
        <sz val="11.0"/>
      </rPr>
      <t>LCA</t>
    </r>
    <r>
      <rPr>
        <rFont val="Noto Sans CJK SC"/>
        <color theme="1"/>
        <sz val="11.0"/>
      </rPr>
      <t>を含む海外での制度事例や検討内容の収集・分析</t>
    </r>
  </si>
  <si>
    <r>
      <rPr>
        <rFont val="Noto Sans CJK SC"/>
        <color theme="1"/>
        <sz val="11.0"/>
      </rPr>
      <t>① フランス</t>
    </r>
    <r>
      <rPr>
        <rFont val="Arial"/>
        <color theme="1"/>
        <sz val="11.0"/>
      </rPr>
      <t>RE2020</t>
    </r>
    <r>
      <rPr>
        <rFont val="Noto Sans CJK SC"/>
        <color theme="1"/>
        <sz val="11.0"/>
      </rPr>
      <t>におけるダイナミック</t>
    </r>
    <r>
      <rPr>
        <rFont val="Arial"/>
        <color theme="1"/>
        <sz val="11.0"/>
      </rPr>
      <t>LCA</t>
    </r>
    <r>
      <rPr>
        <rFont val="Noto Sans CJK SC"/>
        <color theme="1"/>
        <sz val="11.0"/>
      </rPr>
      <t>関連情報の収集・分析</t>
    </r>
  </si>
  <si>
    <r>
      <rPr>
        <rFont val="Arial"/>
        <b/>
        <color theme="1"/>
        <sz val="11.0"/>
      </rPr>
      <t xml:space="preserve">(4) </t>
    </r>
    <r>
      <rPr>
        <rFont val="Noto Sans CJK SC"/>
        <b/>
        <color theme="1"/>
        <sz val="11.0"/>
      </rPr>
      <t>関係機関及び専門家調査</t>
    </r>
  </si>
  <si>
    <t>環境・建築・木材関係機関へのヒアリング</t>
  </si>
  <si>
    <r>
      <rPr>
        <rFont val="Noto Sans CJK SC"/>
        <color theme="1"/>
        <sz val="11.0"/>
      </rPr>
      <t>ダイナミック</t>
    </r>
    <r>
      <rPr>
        <rFont val="Arial"/>
        <color theme="1"/>
        <sz val="11.0"/>
      </rPr>
      <t>LCA</t>
    </r>
    <r>
      <rPr>
        <rFont val="Noto Sans CJK SC"/>
        <color theme="1"/>
        <sz val="11.0"/>
      </rPr>
      <t>導入による効果【メイン</t>
    </r>
    <r>
      <rPr>
        <rFont val="Arial"/>
        <color theme="1"/>
        <sz val="11.0"/>
      </rPr>
      <t>:Web</t>
    </r>
    <r>
      <rPr>
        <rFont val="Noto Sans CJK SC"/>
        <color theme="1"/>
        <sz val="11.0"/>
      </rPr>
      <t>面談】</t>
    </r>
  </si>
  <si>
    <r>
      <rPr>
        <rFont val="Noto Sans CJK SC"/>
        <color theme="1"/>
        <sz val="11.0"/>
      </rPr>
      <t>電子メール・</t>
    </r>
    <r>
      <rPr>
        <rFont val="Arial"/>
        <color theme="1"/>
        <sz val="11.0"/>
      </rPr>
      <t>Web</t>
    </r>
    <r>
      <rPr>
        <rFont val="Noto Sans CJK SC"/>
        <color theme="1"/>
        <sz val="11.0"/>
      </rPr>
      <t>面談ヒアリング</t>
    </r>
  </si>
  <si>
    <r>
      <rPr>
        <rFont val="Arial"/>
        <color theme="1"/>
        <sz val="9.0"/>
      </rPr>
      <t>AI</t>
    </r>
    <r>
      <rPr>
        <rFont val="Noto Sans CJK SC"/>
        <color theme="1"/>
        <sz val="9.0"/>
      </rPr>
      <t>は質問票作成・議事録整理・要約のみ。実施は人間</t>
    </r>
  </si>
  <si>
    <r>
      <rPr>
        <rFont val="Arial"/>
        <color theme="1"/>
        <sz val="11.0"/>
      </rPr>
      <t>2026</t>
    </r>
    <r>
      <rPr>
        <rFont val="Noto Sans CJK SC"/>
        <color theme="1"/>
        <sz val="11.0"/>
      </rPr>
      <t>年</t>
    </r>
    <r>
      <rPr>
        <rFont val="Arial"/>
        <color theme="1"/>
        <sz val="11.0"/>
      </rPr>
      <t>8</t>
    </r>
    <r>
      <rPr>
        <rFont val="Noto Sans CJK SC"/>
        <color theme="1"/>
        <sz val="11.0"/>
      </rPr>
      <t>月中旬</t>
    </r>
  </si>
  <si>
    <r>
      <rPr>
        <rFont val="Arial"/>
        <color theme="1"/>
        <sz val="11.0"/>
      </rPr>
      <t>2026</t>
    </r>
    <r>
      <rPr>
        <rFont val="Noto Sans CJK SC"/>
        <color theme="1"/>
        <sz val="11.0"/>
      </rPr>
      <t>年</t>
    </r>
    <r>
      <rPr>
        <rFont val="Arial"/>
        <color theme="1"/>
        <sz val="11.0"/>
      </rPr>
      <t>10</t>
    </r>
    <r>
      <rPr>
        <rFont val="Noto Sans CJK SC"/>
        <color theme="1"/>
        <sz val="11.0"/>
      </rPr>
      <t>月中旬</t>
    </r>
  </si>
  <si>
    <r>
      <rPr>
        <rFont val="Noto Sans CJK SC"/>
        <color theme="1"/>
        <sz val="9.0"/>
      </rPr>
      <t>通訳費</t>
    </r>
    <r>
      <rPr>
        <rFont val="Arial"/>
        <color theme="1"/>
        <sz val="9.0"/>
      </rPr>
      <t>20,000</t>
    </r>
    <r>
      <rPr>
        <rFont val="Noto Sans CJK SC"/>
        <color theme="1"/>
        <sz val="9.0"/>
      </rPr>
      <t>円</t>
    </r>
    <r>
      <rPr>
        <rFont val="Arial"/>
        <color theme="1"/>
        <sz val="9.0"/>
      </rPr>
      <t>+</t>
    </r>
    <r>
      <rPr>
        <rFont val="Noto Sans CJK SC"/>
        <color theme="1"/>
        <sz val="9.0"/>
      </rPr>
      <t>謝礼</t>
    </r>
    <r>
      <rPr>
        <rFont val="Arial"/>
        <color theme="1"/>
        <sz val="9.0"/>
      </rPr>
      <t>10,000</t>
    </r>
    <r>
      <rPr>
        <rFont val="Noto Sans CJK SC"/>
        <color theme="1"/>
        <sz val="9.0"/>
      </rPr>
      <t>円</t>
    </r>
  </si>
  <si>
    <r>
      <rPr>
        <rFont val="Noto Sans CJK SC"/>
        <i/>
        <color rgb="FF595959"/>
        <sz val="9.0"/>
      </rPr>
      <t>★メイン機関</t>
    </r>
    <r>
      <rPr>
        <rFont val="Arial"/>
        <i/>
        <color rgb="FF595959"/>
        <sz val="9.0"/>
      </rPr>
      <t>(</t>
    </r>
    <r>
      <rPr>
        <rFont val="Noto Sans CJK SC"/>
        <i/>
        <color rgb="FF595959"/>
        <sz val="9.0"/>
      </rPr>
      <t>木材関係機関</t>
    </r>
    <r>
      <rPr>
        <rFont val="Arial"/>
        <i/>
        <color rgb="FF595959"/>
        <sz val="9.0"/>
      </rPr>
      <t>)1</t>
    </r>
    <r>
      <rPr>
        <rFont val="Noto Sans CJK SC"/>
        <i/>
        <color rgb="FF595959"/>
        <sz val="9.0"/>
      </rPr>
      <t>機関に集約。</t>
    </r>
    <r>
      <rPr>
        <rFont val="Arial"/>
        <i/>
        <color rgb="FF595959"/>
        <sz val="9.0"/>
      </rPr>
      <t>Web</t>
    </r>
    <r>
      <rPr>
        <rFont val="Noto Sans CJK SC"/>
        <i/>
        <color rgb="FF595959"/>
        <sz val="9.0"/>
      </rPr>
      <t xml:space="preserve">面談で実施 </t>
    </r>
    <r>
      <rPr>
        <rFont val="Arial"/>
        <i/>
        <color rgb="FF595959"/>
        <sz val="9.0"/>
      </rPr>
      <t>/ Web</t>
    </r>
    <r>
      <rPr>
        <rFont val="Noto Sans CJK SC"/>
        <i/>
        <color rgb="FF595959"/>
        <sz val="9.0"/>
      </rPr>
      <t>面談</t>
    </r>
    <r>
      <rPr>
        <rFont val="Arial"/>
        <i/>
        <color rgb="FF595959"/>
        <sz val="9.0"/>
      </rPr>
      <t>1</t>
    </r>
    <r>
      <rPr>
        <rFont val="Noto Sans CJK SC"/>
        <i/>
        <color rgb="FF595959"/>
        <sz val="9.0"/>
      </rPr>
      <t>セッション約</t>
    </r>
    <r>
      <rPr>
        <rFont val="Arial"/>
        <i/>
        <color rgb="FF595959"/>
        <sz val="9.0"/>
      </rPr>
      <t>60-90</t>
    </r>
    <r>
      <rPr>
        <rFont val="Noto Sans CJK SC"/>
        <i/>
        <color rgb="FF595959"/>
        <sz val="9.0"/>
      </rPr>
      <t>分</t>
    </r>
  </si>
  <si>
    <r>
      <rPr>
        <rFont val="Arial"/>
        <color theme="1"/>
        <sz val="11.0"/>
      </rPr>
      <t xml:space="preserve">1. </t>
    </r>
    <r>
      <rPr>
        <rFont val="Noto Sans CJK SC"/>
        <color theme="1"/>
        <sz val="11.0"/>
      </rPr>
      <t>木材の長期間利用による炭素貯蔵効果の評価手法の検討</t>
    </r>
  </si>
  <si>
    <r>
      <rPr>
        <rFont val="Arial"/>
        <color theme="1"/>
        <sz val="11.0"/>
      </rPr>
      <t xml:space="preserve">(1) </t>
    </r>
    <r>
      <rPr>
        <rFont val="Noto Sans CJK SC"/>
        <color theme="1"/>
        <sz val="11.0"/>
      </rPr>
      <t>フランスのダイナミック</t>
    </r>
    <r>
      <rPr>
        <rFont val="Arial"/>
        <color theme="1"/>
        <sz val="11.0"/>
      </rPr>
      <t>LCA</t>
    </r>
    <r>
      <rPr>
        <rFont val="Noto Sans CJK SC"/>
        <color theme="1"/>
        <sz val="11.0"/>
      </rPr>
      <t>を含む海外での制度事例や検討内容の収集・分析</t>
    </r>
  </si>
  <si>
    <r>
      <rPr>
        <rFont val="Noto Sans CJK SC"/>
        <color theme="1"/>
        <sz val="11.0"/>
      </rPr>
      <t>① フランス</t>
    </r>
    <r>
      <rPr>
        <rFont val="Arial"/>
        <color theme="1"/>
        <sz val="11.0"/>
      </rPr>
      <t>RE2020</t>
    </r>
    <r>
      <rPr>
        <rFont val="Noto Sans CJK SC"/>
        <color theme="1"/>
        <sz val="11.0"/>
      </rPr>
      <t>におけるダイナミック</t>
    </r>
    <r>
      <rPr>
        <rFont val="Arial"/>
        <color theme="1"/>
        <sz val="11.0"/>
      </rPr>
      <t>LCA</t>
    </r>
    <r>
      <rPr>
        <rFont val="Noto Sans CJK SC"/>
        <color theme="1"/>
        <sz val="11.0"/>
      </rPr>
      <t>関連情報の収集・分析</t>
    </r>
  </si>
  <si>
    <r>
      <rPr>
        <rFont val="Arial"/>
        <b/>
        <color theme="1"/>
        <sz val="11.0"/>
      </rPr>
      <t xml:space="preserve">(4) </t>
    </r>
    <r>
      <rPr>
        <rFont val="Noto Sans CJK SC"/>
        <b/>
        <color theme="1"/>
        <sz val="11.0"/>
      </rPr>
      <t>関係機関及び専門家調査</t>
    </r>
  </si>
  <si>
    <r>
      <rPr>
        <rFont val="Noto Sans CJK SC"/>
        <color theme="1"/>
        <sz val="11.0"/>
      </rPr>
      <t>実務上の対応状況【サブ</t>
    </r>
    <r>
      <rPr>
        <rFont val="Arial"/>
        <color theme="1"/>
        <sz val="11.0"/>
      </rPr>
      <t>:</t>
    </r>
    <r>
      <rPr>
        <rFont val="Noto Sans CJK SC"/>
        <color theme="1"/>
        <sz val="11.0"/>
      </rPr>
      <t>メール調査】</t>
    </r>
  </si>
  <si>
    <r>
      <rPr>
        <rFont val="Noto Sans CJK SC"/>
        <color theme="1"/>
        <sz val="11.0"/>
      </rPr>
      <t>電子メール・</t>
    </r>
    <r>
      <rPr>
        <rFont val="Arial"/>
        <color theme="1"/>
        <sz val="11.0"/>
      </rPr>
      <t>Web</t>
    </r>
    <r>
      <rPr>
        <rFont val="Noto Sans CJK SC"/>
        <color theme="1"/>
        <sz val="11.0"/>
      </rPr>
      <t>面談ヒアリング</t>
    </r>
  </si>
  <si>
    <r>
      <rPr>
        <rFont val="Arial"/>
        <color theme="1"/>
        <sz val="9.0"/>
      </rPr>
      <t>AI</t>
    </r>
    <r>
      <rPr>
        <rFont val="Noto Sans CJK SC"/>
        <color theme="1"/>
        <sz val="9.0"/>
      </rPr>
      <t>で質問票作成・回答要約、人間が検証</t>
    </r>
  </si>
  <si>
    <r>
      <rPr>
        <rFont val="Arial"/>
        <color theme="1"/>
        <sz val="11.0"/>
      </rPr>
      <t>2026</t>
    </r>
    <r>
      <rPr>
        <rFont val="Noto Sans CJK SC"/>
        <color theme="1"/>
        <sz val="11.0"/>
      </rPr>
      <t>年</t>
    </r>
    <r>
      <rPr>
        <rFont val="Arial"/>
        <color theme="1"/>
        <sz val="11.0"/>
      </rPr>
      <t>8</t>
    </r>
    <r>
      <rPr>
        <rFont val="Noto Sans CJK SC"/>
        <color theme="1"/>
        <sz val="11.0"/>
      </rPr>
      <t>月中旬</t>
    </r>
  </si>
  <si>
    <r>
      <rPr>
        <rFont val="Arial"/>
        <color theme="1"/>
        <sz val="11.0"/>
      </rPr>
      <t>2026</t>
    </r>
    <r>
      <rPr>
        <rFont val="Noto Sans CJK SC"/>
        <color theme="1"/>
        <sz val="11.0"/>
      </rPr>
      <t>年</t>
    </r>
    <r>
      <rPr>
        <rFont val="Arial"/>
        <color theme="1"/>
        <sz val="11.0"/>
      </rPr>
      <t>10</t>
    </r>
    <r>
      <rPr>
        <rFont val="Noto Sans CJK SC"/>
        <color theme="1"/>
        <sz val="11.0"/>
      </rPr>
      <t>月中旬</t>
    </r>
  </si>
  <si>
    <r>
      <rPr>
        <rFont val="Noto Sans CJK SC"/>
        <color theme="1"/>
        <sz val="9.0"/>
      </rPr>
      <t>翻訳費</t>
    </r>
    <r>
      <rPr>
        <rFont val="Arial"/>
        <color theme="1"/>
        <sz val="9.0"/>
      </rPr>
      <t>10,000</t>
    </r>
    <r>
      <rPr>
        <rFont val="Noto Sans CJK SC"/>
        <color theme="1"/>
        <sz val="9.0"/>
      </rPr>
      <t>円</t>
    </r>
  </si>
  <si>
    <r>
      <rPr>
        <rFont val="Noto Sans CJK SC"/>
        <i/>
        <color rgb="FF595959"/>
        <sz val="9.0"/>
      </rPr>
      <t>同一機関の</t>
    </r>
    <r>
      <rPr>
        <rFont val="Arial"/>
        <i/>
        <color rgb="FF595959"/>
        <sz val="9.0"/>
      </rPr>
      <t>Web</t>
    </r>
    <r>
      <rPr>
        <rFont val="Noto Sans CJK SC"/>
        <i/>
        <color rgb="FF595959"/>
        <sz val="9.0"/>
      </rPr>
      <t xml:space="preserve">面談で統合質問 </t>
    </r>
    <r>
      <rPr>
        <rFont val="Arial"/>
        <i/>
        <color rgb="FF595959"/>
        <sz val="9.0"/>
      </rPr>
      <t>/ Web</t>
    </r>
    <r>
      <rPr>
        <rFont val="Noto Sans CJK SC"/>
        <i/>
        <color rgb="FF595959"/>
        <sz val="9.0"/>
      </rPr>
      <t>面談</t>
    </r>
    <r>
      <rPr>
        <rFont val="Arial"/>
        <i/>
        <color rgb="FF595959"/>
        <sz val="9.0"/>
      </rPr>
      <t>1</t>
    </r>
    <r>
      <rPr>
        <rFont val="Noto Sans CJK SC"/>
        <i/>
        <color rgb="FF595959"/>
        <sz val="9.0"/>
      </rPr>
      <t>セッション約</t>
    </r>
    <r>
      <rPr>
        <rFont val="Arial"/>
        <i/>
        <color rgb="FF595959"/>
        <sz val="9.0"/>
      </rPr>
      <t>60-90</t>
    </r>
    <r>
      <rPr>
        <rFont val="Noto Sans CJK SC"/>
        <i/>
        <color rgb="FF595959"/>
        <sz val="9.0"/>
      </rPr>
      <t>分</t>
    </r>
  </si>
  <si>
    <r>
      <rPr>
        <rFont val="Arial"/>
        <color theme="1"/>
        <sz val="11.0"/>
      </rPr>
      <t xml:space="preserve">1. </t>
    </r>
    <r>
      <rPr>
        <rFont val="Noto Sans CJK SC"/>
        <color theme="1"/>
        <sz val="11.0"/>
      </rPr>
      <t>木材の長期間利用による炭素貯蔵効果の評価手法の検討</t>
    </r>
  </si>
  <si>
    <r>
      <rPr>
        <rFont val="Arial"/>
        <color theme="1"/>
        <sz val="11.0"/>
      </rPr>
      <t xml:space="preserve">(1) </t>
    </r>
    <r>
      <rPr>
        <rFont val="Noto Sans CJK SC"/>
        <color theme="1"/>
        <sz val="11.0"/>
      </rPr>
      <t>フランスのダイナミック</t>
    </r>
    <r>
      <rPr>
        <rFont val="Arial"/>
        <color theme="1"/>
        <sz val="11.0"/>
      </rPr>
      <t>LCA</t>
    </r>
    <r>
      <rPr>
        <rFont val="Noto Sans CJK SC"/>
        <color theme="1"/>
        <sz val="11.0"/>
      </rPr>
      <t>を含む海外での制度事例や検討内容の収集・分析</t>
    </r>
  </si>
  <si>
    <r>
      <rPr>
        <rFont val="Noto Sans CJK SC"/>
        <color theme="1"/>
        <sz val="11.0"/>
      </rPr>
      <t>① フランス</t>
    </r>
    <r>
      <rPr>
        <rFont val="Arial"/>
        <color theme="1"/>
        <sz val="11.0"/>
      </rPr>
      <t>RE2020</t>
    </r>
    <r>
      <rPr>
        <rFont val="Noto Sans CJK SC"/>
        <color theme="1"/>
        <sz val="11.0"/>
      </rPr>
      <t>におけるダイナミック</t>
    </r>
    <r>
      <rPr>
        <rFont val="Arial"/>
        <color theme="1"/>
        <sz val="11.0"/>
      </rPr>
      <t>LCA</t>
    </r>
    <r>
      <rPr>
        <rFont val="Noto Sans CJK SC"/>
        <color theme="1"/>
        <sz val="11.0"/>
      </rPr>
      <t>関連情報の収集・分析</t>
    </r>
  </si>
  <si>
    <r>
      <rPr>
        <rFont val="Arial"/>
        <b/>
        <color theme="1"/>
        <sz val="11.0"/>
      </rPr>
      <t xml:space="preserve">(4) </t>
    </r>
    <r>
      <rPr>
        <rFont val="Noto Sans CJK SC"/>
        <b/>
        <color theme="1"/>
        <sz val="11.0"/>
      </rPr>
      <t>関係機関及び専門家調査</t>
    </r>
  </si>
  <si>
    <r>
      <rPr>
        <rFont val="Noto Sans CJK SC"/>
        <color theme="1"/>
        <sz val="11.0"/>
      </rPr>
      <t>今後の展望や期待【サブ</t>
    </r>
    <r>
      <rPr>
        <rFont val="Arial"/>
        <color theme="1"/>
        <sz val="11.0"/>
      </rPr>
      <t>:</t>
    </r>
    <r>
      <rPr>
        <rFont val="Noto Sans CJK SC"/>
        <color theme="1"/>
        <sz val="11.0"/>
      </rPr>
      <t>メール調査】</t>
    </r>
  </si>
  <si>
    <r>
      <rPr>
        <rFont val="Noto Sans CJK SC"/>
        <color theme="1"/>
        <sz val="11.0"/>
      </rPr>
      <t>電子メール・</t>
    </r>
    <r>
      <rPr>
        <rFont val="Arial"/>
        <color theme="1"/>
        <sz val="11.0"/>
      </rPr>
      <t>Web</t>
    </r>
    <r>
      <rPr>
        <rFont val="Noto Sans CJK SC"/>
        <color theme="1"/>
        <sz val="11.0"/>
      </rPr>
      <t>面談ヒアリング</t>
    </r>
  </si>
  <si>
    <r>
      <rPr>
        <rFont val="Arial"/>
        <color theme="1"/>
        <sz val="9.0"/>
      </rPr>
      <t>AI</t>
    </r>
    <r>
      <rPr>
        <rFont val="Noto Sans CJK SC"/>
        <color theme="1"/>
        <sz val="9.0"/>
      </rPr>
      <t>で質問票作成・回答要約、人間が検証</t>
    </r>
  </si>
  <si>
    <r>
      <rPr>
        <rFont val="Arial"/>
        <color theme="1"/>
        <sz val="11.0"/>
      </rPr>
      <t>2026</t>
    </r>
    <r>
      <rPr>
        <rFont val="Noto Sans CJK SC"/>
        <color theme="1"/>
        <sz val="11.0"/>
      </rPr>
      <t>年</t>
    </r>
    <r>
      <rPr>
        <rFont val="Arial"/>
        <color theme="1"/>
        <sz val="11.0"/>
      </rPr>
      <t>8</t>
    </r>
    <r>
      <rPr>
        <rFont val="Noto Sans CJK SC"/>
        <color theme="1"/>
        <sz val="11.0"/>
      </rPr>
      <t>月中旬</t>
    </r>
  </si>
  <si>
    <r>
      <rPr>
        <rFont val="Arial"/>
        <color theme="1"/>
        <sz val="11.0"/>
      </rPr>
      <t>2026</t>
    </r>
    <r>
      <rPr>
        <rFont val="Noto Sans CJK SC"/>
        <color theme="1"/>
        <sz val="11.0"/>
      </rPr>
      <t>年</t>
    </r>
    <r>
      <rPr>
        <rFont val="Arial"/>
        <color theme="1"/>
        <sz val="11.0"/>
      </rPr>
      <t>10</t>
    </r>
    <r>
      <rPr>
        <rFont val="Noto Sans CJK SC"/>
        <color theme="1"/>
        <sz val="11.0"/>
      </rPr>
      <t>月中旬</t>
    </r>
  </si>
  <si>
    <r>
      <rPr>
        <rFont val="Noto Sans CJK SC"/>
        <color theme="1"/>
        <sz val="9.0"/>
      </rPr>
      <t>翻訳費</t>
    </r>
    <r>
      <rPr>
        <rFont val="Arial"/>
        <color theme="1"/>
        <sz val="9.0"/>
      </rPr>
      <t>10,000</t>
    </r>
    <r>
      <rPr>
        <rFont val="Noto Sans CJK SC"/>
        <color theme="1"/>
        <sz val="9.0"/>
      </rPr>
      <t>円</t>
    </r>
  </si>
  <si>
    <t>メール調査のみで対応</t>
  </si>
  <si>
    <r>
      <rPr>
        <rFont val="Arial"/>
        <color theme="1"/>
        <sz val="11.0"/>
      </rPr>
      <t xml:space="preserve">1. </t>
    </r>
    <r>
      <rPr>
        <rFont val="Noto Sans CJK SC"/>
        <color theme="1"/>
        <sz val="11.0"/>
      </rPr>
      <t>木材の長期間利用による炭素貯蔵効果の評価手法の検討</t>
    </r>
  </si>
  <si>
    <r>
      <rPr>
        <rFont val="Arial"/>
        <color theme="1"/>
        <sz val="11.0"/>
      </rPr>
      <t xml:space="preserve">(1) </t>
    </r>
    <r>
      <rPr>
        <rFont val="Noto Sans CJK SC"/>
        <color theme="1"/>
        <sz val="11.0"/>
      </rPr>
      <t>フランスのダイナミック</t>
    </r>
    <r>
      <rPr>
        <rFont val="Arial"/>
        <color theme="1"/>
        <sz val="11.0"/>
      </rPr>
      <t>LCA</t>
    </r>
    <r>
      <rPr>
        <rFont val="Noto Sans CJK SC"/>
        <color theme="1"/>
        <sz val="11.0"/>
      </rPr>
      <t>を含む海外での制度事例や検討内容の収集・分析</t>
    </r>
  </si>
  <si>
    <r>
      <rPr>
        <rFont val="Noto Sans CJK SC"/>
        <color theme="1"/>
        <sz val="11.0"/>
      </rPr>
      <t>① フランス</t>
    </r>
    <r>
      <rPr>
        <rFont val="Arial"/>
        <color theme="1"/>
        <sz val="11.0"/>
      </rPr>
      <t>RE2020</t>
    </r>
    <r>
      <rPr>
        <rFont val="Noto Sans CJK SC"/>
        <color theme="1"/>
        <sz val="11.0"/>
      </rPr>
      <t>におけるダイナミック</t>
    </r>
    <r>
      <rPr>
        <rFont val="Arial"/>
        <color theme="1"/>
        <sz val="11.0"/>
      </rPr>
      <t>LCA</t>
    </r>
    <r>
      <rPr>
        <rFont val="Noto Sans CJK SC"/>
        <color theme="1"/>
        <sz val="11.0"/>
      </rPr>
      <t>関連情報の収集・分析</t>
    </r>
  </si>
  <si>
    <r>
      <rPr>
        <rFont val="Arial"/>
        <b/>
        <color theme="1"/>
        <sz val="11.0"/>
      </rPr>
      <t xml:space="preserve">(4) </t>
    </r>
    <r>
      <rPr>
        <rFont val="Noto Sans CJK SC"/>
        <b/>
        <color theme="1"/>
        <sz val="11.0"/>
      </rPr>
      <t>関係機関及び専門家調査</t>
    </r>
  </si>
  <si>
    <r>
      <rPr>
        <rFont val="Noto Sans CJK SC"/>
        <color theme="1"/>
        <sz val="11.0"/>
      </rPr>
      <t>関連する戦略及び施策との接続状況【サブ</t>
    </r>
    <r>
      <rPr>
        <rFont val="Arial"/>
        <color theme="1"/>
        <sz val="11.0"/>
      </rPr>
      <t>:</t>
    </r>
    <r>
      <rPr>
        <rFont val="Noto Sans CJK SC"/>
        <color theme="1"/>
        <sz val="11.0"/>
      </rPr>
      <t>メール調査】</t>
    </r>
  </si>
  <si>
    <r>
      <rPr>
        <rFont val="Noto Sans CJK SC"/>
        <color theme="1"/>
        <sz val="11.0"/>
      </rPr>
      <t>電子メール・</t>
    </r>
    <r>
      <rPr>
        <rFont val="Arial"/>
        <color theme="1"/>
        <sz val="11.0"/>
      </rPr>
      <t>Web</t>
    </r>
    <r>
      <rPr>
        <rFont val="Noto Sans CJK SC"/>
        <color theme="1"/>
        <sz val="11.0"/>
      </rPr>
      <t>面談ヒアリング</t>
    </r>
  </si>
  <si>
    <r>
      <rPr>
        <rFont val="Arial"/>
        <color theme="1"/>
        <sz val="9.0"/>
      </rPr>
      <t>AI</t>
    </r>
    <r>
      <rPr>
        <rFont val="Noto Sans CJK SC"/>
        <color theme="1"/>
        <sz val="9.0"/>
      </rPr>
      <t>で質問票作成・回答要約、人間が検証</t>
    </r>
  </si>
  <si>
    <r>
      <rPr>
        <rFont val="Arial"/>
        <color theme="1"/>
        <sz val="11.0"/>
      </rPr>
      <t>2026</t>
    </r>
    <r>
      <rPr>
        <rFont val="Noto Sans CJK SC"/>
        <color theme="1"/>
        <sz val="11.0"/>
      </rPr>
      <t>年</t>
    </r>
    <r>
      <rPr>
        <rFont val="Arial"/>
        <color theme="1"/>
        <sz val="11.0"/>
      </rPr>
      <t>8</t>
    </r>
    <r>
      <rPr>
        <rFont val="Noto Sans CJK SC"/>
        <color theme="1"/>
        <sz val="11.0"/>
      </rPr>
      <t>月中旬</t>
    </r>
  </si>
  <si>
    <r>
      <rPr>
        <rFont val="Arial"/>
        <color theme="1"/>
        <sz val="11.0"/>
      </rPr>
      <t>2026</t>
    </r>
    <r>
      <rPr>
        <rFont val="Noto Sans CJK SC"/>
        <color theme="1"/>
        <sz val="11.0"/>
      </rPr>
      <t>年</t>
    </r>
    <r>
      <rPr>
        <rFont val="Arial"/>
        <color theme="1"/>
        <sz val="11.0"/>
      </rPr>
      <t>10</t>
    </r>
    <r>
      <rPr>
        <rFont val="Noto Sans CJK SC"/>
        <color theme="1"/>
        <sz val="11.0"/>
      </rPr>
      <t>月中旬</t>
    </r>
  </si>
  <si>
    <r>
      <rPr>
        <rFont val="Noto Sans CJK SC"/>
        <color theme="1"/>
        <sz val="9.0"/>
      </rPr>
      <t>翻訳費</t>
    </r>
    <r>
      <rPr>
        <rFont val="Arial"/>
        <color theme="1"/>
        <sz val="9.0"/>
      </rPr>
      <t>10,000</t>
    </r>
    <r>
      <rPr>
        <rFont val="Noto Sans CJK SC"/>
        <color theme="1"/>
        <sz val="9.0"/>
      </rPr>
      <t>円</t>
    </r>
  </si>
  <si>
    <r>
      <rPr>
        <rFont val="Arial"/>
        <color theme="1"/>
        <sz val="11.0"/>
      </rPr>
      <t xml:space="preserve">1. </t>
    </r>
    <r>
      <rPr>
        <rFont val="Noto Sans CJK SC"/>
        <color theme="1"/>
        <sz val="11.0"/>
      </rPr>
      <t>木材の長期間利用による炭素貯蔵効果の評価手法の検討</t>
    </r>
  </si>
  <si>
    <r>
      <rPr>
        <rFont val="Arial"/>
        <color theme="1"/>
        <sz val="11.0"/>
      </rPr>
      <t xml:space="preserve">(1) </t>
    </r>
    <r>
      <rPr>
        <rFont val="Noto Sans CJK SC"/>
        <color theme="1"/>
        <sz val="11.0"/>
      </rPr>
      <t>フランスのダイナミック</t>
    </r>
    <r>
      <rPr>
        <rFont val="Arial"/>
        <color theme="1"/>
        <sz val="11.0"/>
      </rPr>
      <t>LCA</t>
    </r>
    <r>
      <rPr>
        <rFont val="Noto Sans CJK SC"/>
        <color theme="1"/>
        <sz val="11.0"/>
      </rPr>
      <t>を含む海外での制度事例や検討内容の収集・分析</t>
    </r>
  </si>
  <si>
    <r>
      <rPr>
        <rFont val="Noto Sans CJK SC"/>
        <color theme="1"/>
        <sz val="11.0"/>
      </rPr>
      <t>① フランス</t>
    </r>
    <r>
      <rPr>
        <rFont val="Arial"/>
        <color theme="1"/>
        <sz val="11.0"/>
      </rPr>
      <t>RE2020</t>
    </r>
    <r>
      <rPr>
        <rFont val="Noto Sans CJK SC"/>
        <color theme="1"/>
        <sz val="11.0"/>
      </rPr>
      <t>におけるダイナミック</t>
    </r>
    <r>
      <rPr>
        <rFont val="Arial"/>
        <color theme="1"/>
        <sz val="11.0"/>
      </rPr>
      <t>LCA</t>
    </r>
    <r>
      <rPr>
        <rFont val="Noto Sans CJK SC"/>
        <color theme="1"/>
        <sz val="11.0"/>
      </rPr>
      <t>関連情報の収集・分析</t>
    </r>
  </si>
  <si>
    <r>
      <rPr>
        <rFont val="Arial"/>
        <b/>
        <color theme="1"/>
        <sz val="11.0"/>
      </rPr>
      <t xml:space="preserve">(4) </t>
    </r>
    <r>
      <rPr>
        <rFont val="Noto Sans CJK SC"/>
        <b/>
        <color theme="1"/>
        <sz val="11.0"/>
      </rPr>
      <t>関係機関及び専門家調査</t>
    </r>
  </si>
  <si>
    <t>オ</t>
  </si>
  <si>
    <r>
      <rPr>
        <rFont val="Noto Sans CJK SC"/>
        <color theme="1"/>
        <sz val="11.0"/>
      </rPr>
      <t>環境建築認証（</t>
    </r>
    <r>
      <rPr>
        <rFont val="Arial"/>
        <color theme="1"/>
        <sz val="11.0"/>
      </rPr>
      <t>HQE</t>
    </r>
    <r>
      <rPr>
        <rFont val="Noto Sans CJK SC"/>
        <color theme="1"/>
        <sz val="11.0"/>
      </rPr>
      <t>、</t>
    </r>
    <r>
      <rPr>
        <rFont val="Arial"/>
        <color theme="1"/>
        <sz val="11.0"/>
      </rPr>
      <t>BBCA</t>
    </r>
    <r>
      <rPr>
        <rFont val="Noto Sans CJK SC"/>
        <color theme="1"/>
        <sz val="11.0"/>
      </rPr>
      <t>、</t>
    </r>
    <r>
      <rPr>
        <rFont val="Arial"/>
        <color theme="1"/>
        <sz val="11.0"/>
      </rPr>
      <t>LEED</t>
    </r>
    <r>
      <rPr>
        <rFont val="Noto Sans CJK SC"/>
        <color theme="1"/>
        <sz val="11.0"/>
      </rPr>
      <t>等）やインパクト金融との関係性【サブ</t>
    </r>
    <r>
      <rPr>
        <rFont val="Arial"/>
        <color theme="1"/>
        <sz val="11.0"/>
      </rPr>
      <t>:</t>
    </r>
    <r>
      <rPr>
        <rFont val="Noto Sans CJK SC"/>
        <color theme="1"/>
        <sz val="11.0"/>
      </rPr>
      <t>メール調査】</t>
    </r>
  </si>
  <si>
    <r>
      <rPr>
        <rFont val="Noto Sans CJK SC"/>
        <color theme="1"/>
        <sz val="11.0"/>
      </rPr>
      <t>電子メール・</t>
    </r>
    <r>
      <rPr>
        <rFont val="Arial"/>
        <color theme="1"/>
        <sz val="11.0"/>
      </rPr>
      <t>Web</t>
    </r>
    <r>
      <rPr>
        <rFont val="Noto Sans CJK SC"/>
        <color theme="1"/>
        <sz val="11.0"/>
      </rPr>
      <t>面談ヒアリング</t>
    </r>
  </si>
  <si>
    <r>
      <rPr>
        <rFont val="Arial"/>
        <color theme="1"/>
        <sz val="9.0"/>
      </rPr>
      <t>AI</t>
    </r>
    <r>
      <rPr>
        <rFont val="Noto Sans CJK SC"/>
        <color theme="1"/>
        <sz val="9.0"/>
      </rPr>
      <t>で質問票作成・回答要約、人間が検証</t>
    </r>
  </si>
  <si>
    <r>
      <rPr>
        <rFont val="Arial"/>
        <color theme="1"/>
        <sz val="11.0"/>
      </rPr>
      <t>2026</t>
    </r>
    <r>
      <rPr>
        <rFont val="Noto Sans CJK SC"/>
        <color theme="1"/>
        <sz val="11.0"/>
      </rPr>
      <t>年</t>
    </r>
    <r>
      <rPr>
        <rFont val="Arial"/>
        <color theme="1"/>
        <sz val="11.0"/>
      </rPr>
      <t>8</t>
    </r>
    <r>
      <rPr>
        <rFont val="Noto Sans CJK SC"/>
        <color theme="1"/>
        <sz val="11.0"/>
      </rPr>
      <t>月中旬</t>
    </r>
  </si>
  <si>
    <r>
      <rPr>
        <rFont val="Arial"/>
        <color theme="1"/>
        <sz val="11.0"/>
      </rPr>
      <t>2026</t>
    </r>
    <r>
      <rPr>
        <rFont val="Noto Sans CJK SC"/>
        <color theme="1"/>
        <sz val="11.0"/>
      </rPr>
      <t>年</t>
    </r>
    <r>
      <rPr>
        <rFont val="Arial"/>
        <color theme="1"/>
        <sz val="11.0"/>
      </rPr>
      <t>10</t>
    </r>
    <r>
      <rPr>
        <rFont val="Noto Sans CJK SC"/>
        <color theme="1"/>
        <sz val="11.0"/>
      </rPr>
      <t>月中旬</t>
    </r>
  </si>
  <si>
    <r>
      <rPr>
        <rFont val="Noto Sans CJK SC"/>
        <color theme="1"/>
        <sz val="9.0"/>
      </rPr>
      <t>翻訳費</t>
    </r>
    <r>
      <rPr>
        <rFont val="Arial"/>
        <color theme="1"/>
        <sz val="9.0"/>
      </rPr>
      <t>10,000</t>
    </r>
    <r>
      <rPr>
        <rFont val="Noto Sans CJK SC"/>
        <color theme="1"/>
        <sz val="9.0"/>
      </rPr>
      <t>円</t>
    </r>
  </si>
  <si>
    <r>
      <rPr>
        <rFont val="Noto Sans CJK SC"/>
        <i/>
        <color rgb="FF595959"/>
        <sz val="9.0"/>
      </rPr>
      <t>同一機関の</t>
    </r>
    <r>
      <rPr>
        <rFont val="Arial"/>
        <i/>
        <color rgb="FF595959"/>
        <sz val="9.0"/>
      </rPr>
      <t>Web</t>
    </r>
    <r>
      <rPr>
        <rFont val="Noto Sans CJK SC"/>
        <i/>
        <color rgb="FF595959"/>
        <sz val="9.0"/>
      </rPr>
      <t xml:space="preserve">面談で統合質問 </t>
    </r>
    <r>
      <rPr>
        <rFont val="Arial"/>
        <i/>
        <color rgb="FF595959"/>
        <sz val="9.0"/>
      </rPr>
      <t>/ Web</t>
    </r>
    <r>
      <rPr>
        <rFont val="Noto Sans CJK SC"/>
        <i/>
        <color rgb="FF595959"/>
        <sz val="9.0"/>
      </rPr>
      <t>面談</t>
    </r>
    <r>
      <rPr>
        <rFont val="Arial"/>
        <i/>
        <color rgb="FF595959"/>
        <sz val="9.0"/>
      </rPr>
      <t>1</t>
    </r>
    <r>
      <rPr>
        <rFont val="Noto Sans CJK SC"/>
        <i/>
        <color rgb="FF595959"/>
        <sz val="9.0"/>
      </rPr>
      <t>セッション約</t>
    </r>
    <r>
      <rPr>
        <rFont val="Arial"/>
        <i/>
        <color rgb="FF595959"/>
        <sz val="9.0"/>
      </rPr>
      <t>60-90</t>
    </r>
    <r>
      <rPr>
        <rFont val="Noto Sans CJK SC"/>
        <i/>
        <color rgb="FF595959"/>
        <sz val="9.0"/>
      </rPr>
      <t>分</t>
    </r>
  </si>
  <si>
    <t>OH</t>
  </si>
  <si>
    <r>
      <rPr>
        <rFont val="Arial"/>
        <color theme="1"/>
        <sz val="11.0"/>
      </rPr>
      <t xml:space="preserve">1. </t>
    </r>
    <r>
      <rPr>
        <rFont val="Noto Sans CJK SC"/>
        <color theme="1"/>
        <sz val="11.0"/>
      </rPr>
      <t>木材の長期間利用による炭素貯蔵効果の評価手法の検討</t>
    </r>
  </si>
  <si>
    <r>
      <rPr>
        <rFont val="Arial"/>
        <color theme="1"/>
        <sz val="11.0"/>
      </rPr>
      <t xml:space="preserve">(1) </t>
    </r>
    <r>
      <rPr>
        <rFont val="Noto Sans CJK SC"/>
        <color theme="1"/>
        <sz val="11.0"/>
      </rPr>
      <t>フランスのダイナミック</t>
    </r>
    <r>
      <rPr>
        <rFont val="Arial"/>
        <color theme="1"/>
        <sz val="11.0"/>
      </rPr>
      <t>LCA</t>
    </r>
    <r>
      <rPr>
        <rFont val="Noto Sans CJK SC"/>
        <color theme="1"/>
        <sz val="11.0"/>
      </rPr>
      <t>を含む海外での制度事例や検討内容の収集・分析</t>
    </r>
  </si>
  <si>
    <r>
      <rPr>
        <rFont val="Noto Sans CJK SC"/>
        <color theme="1"/>
        <sz val="11.0"/>
      </rPr>
      <t>① フランス</t>
    </r>
    <r>
      <rPr>
        <rFont val="Arial"/>
        <color theme="1"/>
        <sz val="11.0"/>
      </rPr>
      <t>RE2020</t>
    </r>
    <r>
      <rPr>
        <rFont val="Noto Sans CJK SC"/>
        <color theme="1"/>
        <sz val="11.0"/>
      </rPr>
      <t>におけるダイナミック</t>
    </r>
    <r>
      <rPr>
        <rFont val="Arial"/>
        <color theme="1"/>
        <sz val="11.0"/>
      </rPr>
      <t>LCA</t>
    </r>
    <r>
      <rPr>
        <rFont val="Noto Sans CJK SC"/>
        <color theme="1"/>
        <sz val="11.0"/>
      </rPr>
      <t>関連情報の収集・分析</t>
    </r>
  </si>
  <si>
    <r>
      <rPr>
        <rFont val="Noto Sans CJK SC"/>
        <b/>
        <color theme="1"/>
        <sz val="11.0"/>
      </rPr>
      <t xml:space="preserve">横断業務 </t>
    </r>
    <r>
      <rPr>
        <rFont val="Arial"/>
        <b/>
        <color theme="1"/>
        <sz val="11.0"/>
      </rPr>
      <t>(</t>
    </r>
    <r>
      <rPr>
        <rFont val="Noto Sans CJK SC"/>
        <b/>
        <color theme="1"/>
        <sz val="11.0"/>
      </rPr>
      <t>統合・</t>
    </r>
    <r>
      <rPr>
        <rFont val="Arial"/>
        <b/>
        <color theme="1"/>
        <sz val="11.0"/>
      </rPr>
      <t>PMO)</t>
    </r>
  </si>
  <si>
    <t>―</t>
  </si>
  <si>
    <t>プロジェクトマネジメント・全体統合・報告書作成</t>
  </si>
  <si>
    <r>
      <rPr>
        <rFont val="Noto Sans CJK SC"/>
        <color theme="1"/>
        <sz val="11.0"/>
      </rPr>
      <t>キックオフ、定例</t>
    </r>
    <r>
      <rPr>
        <rFont val="Arial"/>
        <color theme="1"/>
        <sz val="11.0"/>
      </rPr>
      <t>MTG</t>
    </r>
    <r>
      <rPr>
        <rFont val="Noto Sans CJK SC"/>
        <color theme="1"/>
        <sz val="11.0"/>
      </rPr>
      <t>、進捗管理、章間整合、パワポ形式の最終報告書作成・納品</t>
    </r>
  </si>
  <si>
    <t>プロジェクトマネジメント</t>
  </si>
  <si>
    <r>
      <rPr>
        <rFont val="Arial"/>
        <color theme="1"/>
        <sz val="9.0"/>
      </rPr>
      <t>AI</t>
    </r>
    <r>
      <rPr>
        <rFont val="Noto Sans CJK SC"/>
        <color theme="1"/>
        <sz val="9.0"/>
      </rPr>
      <t>でパワポ初稿</t>
    </r>
    <r>
      <rPr>
        <rFont val="Arial"/>
        <color theme="1"/>
        <sz val="9.0"/>
      </rPr>
      <t>(</t>
    </r>
    <r>
      <rPr>
        <rFont val="Noto Sans CJK SC"/>
        <color theme="1"/>
        <sz val="9.0"/>
      </rPr>
      <t>スライド構成</t>
    </r>
    <r>
      <rPr>
        <rFont val="Arial"/>
        <color theme="1"/>
        <sz val="9.0"/>
      </rPr>
      <t>+</t>
    </r>
    <r>
      <rPr>
        <rFont val="Noto Sans CJK SC"/>
        <color theme="1"/>
        <sz val="9.0"/>
      </rPr>
      <t>文案</t>
    </r>
    <r>
      <rPr>
        <rFont val="Arial"/>
        <color theme="1"/>
        <sz val="9.0"/>
      </rPr>
      <t>)</t>
    </r>
    <r>
      <rPr>
        <rFont val="Noto Sans CJK SC"/>
        <color theme="1"/>
        <sz val="9.0"/>
      </rPr>
      <t>生成、人間が編集確認。文章執筆工数を大幅削減</t>
    </r>
  </si>
  <si>
    <r>
      <rPr>
        <rFont val="Arial"/>
        <color theme="1"/>
        <sz val="11.0"/>
      </rPr>
      <t>2026</t>
    </r>
    <r>
      <rPr>
        <rFont val="Noto Sans CJK SC"/>
        <color theme="1"/>
        <sz val="11.0"/>
      </rPr>
      <t>年</t>
    </r>
    <r>
      <rPr>
        <rFont val="Arial"/>
        <color theme="1"/>
        <sz val="11.0"/>
      </rPr>
      <t>5</t>
    </r>
    <r>
      <rPr>
        <rFont val="Noto Sans CJK SC"/>
        <color theme="1"/>
        <sz val="11.0"/>
      </rPr>
      <t>月上旬</t>
    </r>
  </si>
  <si>
    <r>
      <rPr>
        <rFont val="Arial"/>
        <color theme="1"/>
        <sz val="11.0"/>
      </rPr>
      <t>2026</t>
    </r>
    <r>
      <rPr>
        <rFont val="Noto Sans CJK SC"/>
        <color theme="1"/>
        <sz val="11.0"/>
      </rPr>
      <t>年</t>
    </r>
    <r>
      <rPr>
        <rFont val="Arial"/>
        <color theme="1"/>
        <sz val="11.0"/>
      </rPr>
      <t>10</t>
    </r>
    <r>
      <rPr>
        <rFont val="Noto Sans CJK SC"/>
        <color theme="1"/>
        <sz val="11.0"/>
      </rPr>
      <t>月中旬</t>
    </r>
  </si>
  <si>
    <r>
      <rPr>
        <rFont val="Noto Sans CJK SC"/>
        <i/>
        <color rgb="FF595959"/>
        <sz val="9.0"/>
      </rPr>
      <t>全期間を通じて発生。パワポ形式の納品物。</t>
    </r>
    <r>
      <rPr>
        <rFont val="Arial"/>
        <i/>
        <color rgb="FF595959"/>
        <sz val="9.0"/>
      </rPr>
      <t>AI</t>
    </r>
    <r>
      <rPr>
        <rFont val="Noto Sans CJK SC"/>
        <i/>
        <color rgb="FF595959"/>
        <sz val="9.0"/>
      </rPr>
      <t>でスライド初稿生成、人間が編集確認</t>
    </r>
  </si>
  <si>
    <t>AI</t>
  </si>
  <si>
    <r>
      <rPr>
        <rFont val="Arial"/>
        <b/>
        <color theme="1"/>
        <sz val="11.0"/>
      </rPr>
      <t>AI</t>
    </r>
    <r>
      <rPr>
        <rFont val="Noto Sans CJK SC"/>
        <b/>
        <color theme="1"/>
        <sz val="11.0"/>
      </rPr>
      <t>利用ツール費用</t>
    </r>
  </si>
  <si>
    <r>
      <rPr>
        <rFont val="Arial"/>
        <color theme="1"/>
        <sz val="11.0"/>
      </rPr>
      <t>Claude Pro/ChatGPT Plus/DeepL Pro</t>
    </r>
    <r>
      <rPr>
        <rFont val="Noto Sans CJK SC"/>
        <color theme="1"/>
        <sz val="11.0"/>
      </rPr>
      <t xml:space="preserve">等 </t>
    </r>
    <r>
      <rPr>
        <rFont val="Arial"/>
        <color theme="1"/>
        <sz val="11.0"/>
      </rPr>
      <t>6</t>
    </r>
    <r>
      <rPr>
        <rFont val="Noto Sans CJK SC"/>
        <color theme="1"/>
        <sz val="11.0"/>
      </rPr>
      <t>ヶ月分</t>
    </r>
  </si>
  <si>
    <r>
      <rPr>
        <rFont val="Arial"/>
        <color theme="1"/>
        <sz val="9.0"/>
      </rPr>
      <t xml:space="preserve">Claude Pro: </t>
    </r>
    <r>
      <rPr>
        <rFont val="Noto Sans CJK SC"/>
        <color theme="1"/>
        <sz val="9.0"/>
      </rPr>
      <t>月</t>
    </r>
    <r>
      <rPr>
        <rFont val="Arial"/>
        <color theme="1"/>
        <sz val="9.0"/>
      </rPr>
      <t>3,000</t>
    </r>
    <r>
      <rPr>
        <rFont val="Noto Sans CJK SC"/>
        <color theme="1"/>
        <sz val="9.0"/>
      </rPr>
      <t>円</t>
    </r>
    <r>
      <rPr>
        <rFont val="Arial"/>
        <color theme="1"/>
        <sz val="9.0"/>
      </rPr>
      <t xml:space="preserve">×6 + ChatGPT Plus: </t>
    </r>
    <r>
      <rPr>
        <rFont val="Noto Sans CJK SC"/>
        <color theme="1"/>
        <sz val="9.0"/>
      </rPr>
      <t>月</t>
    </r>
    <r>
      <rPr>
        <rFont val="Arial"/>
        <color theme="1"/>
        <sz val="9.0"/>
      </rPr>
      <t>3,000</t>
    </r>
    <r>
      <rPr>
        <rFont val="Noto Sans CJK SC"/>
        <color theme="1"/>
        <sz val="9.0"/>
      </rPr>
      <t>円</t>
    </r>
    <r>
      <rPr>
        <rFont val="Arial"/>
        <color theme="1"/>
        <sz val="9.0"/>
      </rPr>
      <t xml:space="preserve">×6 + DeepL Pro: </t>
    </r>
    <r>
      <rPr>
        <rFont val="Noto Sans CJK SC"/>
        <color theme="1"/>
        <sz val="9.0"/>
      </rPr>
      <t>月</t>
    </r>
    <r>
      <rPr>
        <rFont val="Arial"/>
        <color theme="1"/>
        <sz val="9.0"/>
      </rPr>
      <t>1,500</t>
    </r>
    <r>
      <rPr>
        <rFont val="Noto Sans CJK SC"/>
        <color theme="1"/>
        <sz val="9.0"/>
      </rPr>
      <t>円</t>
    </r>
    <r>
      <rPr>
        <rFont val="Arial"/>
        <color theme="1"/>
        <sz val="9.0"/>
      </rPr>
      <t>×6</t>
    </r>
  </si>
  <si>
    <r>
      <rPr>
        <rFont val="Arial"/>
        <color theme="1"/>
        <sz val="11.0"/>
      </rPr>
      <t>2026</t>
    </r>
    <r>
      <rPr>
        <rFont val="Noto Sans CJK SC"/>
        <color theme="1"/>
        <sz val="11.0"/>
      </rPr>
      <t>年</t>
    </r>
    <r>
      <rPr>
        <rFont val="Arial"/>
        <color theme="1"/>
        <sz val="11.0"/>
      </rPr>
      <t>5</t>
    </r>
    <r>
      <rPr>
        <rFont val="Noto Sans CJK SC"/>
        <color theme="1"/>
        <sz val="11.0"/>
      </rPr>
      <t>月</t>
    </r>
  </si>
  <si>
    <r>
      <rPr>
        <rFont val="Arial"/>
        <color theme="1"/>
        <sz val="11.0"/>
      </rPr>
      <t>2026</t>
    </r>
    <r>
      <rPr>
        <rFont val="Noto Sans CJK SC"/>
        <color theme="1"/>
        <sz val="11.0"/>
      </rPr>
      <t>年</t>
    </r>
    <r>
      <rPr>
        <rFont val="Arial"/>
        <color theme="1"/>
        <sz val="11.0"/>
      </rPr>
      <t>10</t>
    </r>
    <r>
      <rPr>
        <rFont val="Noto Sans CJK SC"/>
        <color theme="1"/>
        <sz val="11.0"/>
      </rPr>
      <t>月</t>
    </r>
  </si>
  <si>
    <r>
      <rPr>
        <rFont val="Arial"/>
        <color theme="1"/>
        <sz val="9.0"/>
      </rPr>
      <t>AI/</t>
    </r>
    <r>
      <rPr>
        <rFont val="Noto Sans CJK SC"/>
        <color theme="1"/>
        <sz val="9.0"/>
      </rPr>
      <t xml:space="preserve">翻訳ツールサブスク </t>
    </r>
    <r>
      <rPr>
        <rFont val="Arial"/>
        <color theme="1"/>
        <sz val="9.0"/>
      </rPr>
      <t>6</t>
    </r>
    <r>
      <rPr>
        <rFont val="Noto Sans CJK SC"/>
        <color theme="1"/>
        <sz val="9.0"/>
      </rPr>
      <t>ヶ月分</t>
    </r>
  </si>
  <si>
    <r>
      <rPr>
        <rFont val="Noto Sans CJK SC"/>
        <i/>
        <color rgb="FF595959"/>
        <sz val="9.0"/>
      </rPr>
      <t>プロジェクト遂行に必要な</t>
    </r>
    <r>
      <rPr>
        <rFont val="Arial"/>
        <i/>
        <color rgb="FF595959"/>
        <sz val="9.0"/>
      </rPr>
      <t>AI</t>
    </r>
    <r>
      <rPr>
        <rFont val="Noto Sans CJK SC"/>
        <i/>
        <color rgb="FF595959"/>
        <sz val="9.0"/>
      </rPr>
      <t>ツールのサブスクリプション</t>
    </r>
  </si>
  <si>
    <t>合計</t>
  </si>
  <si>
    <t>予算上限</t>
  </si>
  <si>
    <t>差額（予算 − 見積）</t>
  </si>
  <si>
    <t>予算消化率</t>
  </si>
  <si>
    <t>【稼働量チェック】月別稼働量を反映</t>
  </si>
  <si>
    <r>
      <rPr>
        <rFont val="Arial"/>
        <color theme="1"/>
        <sz val="11.0"/>
      </rPr>
      <t>5</t>
    </r>
    <r>
      <rPr>
        <rFont val="Noto Sans CJK SC"/>
        <color theme="1"/>
        <sz val="11.0"/>
      </rPr>
      <t>月〜</t>
    </r>
    <r>
      <rPr>
        <rFont val="Arial"/>
        <color theme="1"/>
        <sz val="11.0"/>
      </rPr>
      <t>6</t>
    </r>
    <r>
      <rPr>
        <rFont val="Noto Sans CJK SC"/>
        <color theme="1"/>
        <sz val="11.0"/>
      </rPr>
      <t xml:space="preserve">月 </t>
    </r>
    <r>
      <rPr>
        <rFont val="Arial"/>
        <color theme="1"/>
        <sz val="11.0"/>
      </rPr>
      <t>(9</t>
    </r>
    <r>
      <rPr>
        <rFont val="Noto Sans CJK SC"/>
        <color theme="1"/>
        <sz val="11.0"/>
      </rPr>
      <t xml:space="preserve">週 </t>
    </r>
    <r>
      <rPr>
        <rFont val="Arial"/>
        <color theme="1"/>
        <sz val="11.0"/>
      </rPr>
      <t xml:space="preserve">× </t>
    </r>
    <r>
      <rPr>
        <rFont val="Noto Sans CJK SC"/>
        <color theme="1"/>
        <sz val="11.0"/>
      </rPr>
      <t>週</t>
    </r>
    <r>
      <rPr>
        <rFont val="Arial"/>
        <color theme="1"/>
        <sz val="11.0"/>
      </rPr>
      <t>1.5</t>
    </r>
    <r>
      <rPr>
        <rFont val="Noto Sans CJK SC"/>
        <color theme="1"/>
        <sz val="11.0"/>
      </rPr>
      <t>日</t>
    </r>
    <r>
      <rPr>
        <rFont val="Arial"/>
        <color theme="1"/>
        <sz val="11.0"/>
      </rPr>
      <t>)</t>
    </r>
  </si>
  <si>
    <t>人日</t>
  </si>
  <si>
    <r>
      <rPr>
        <rFont val="Arial"/>
        <color theme="1"/>
        <sz val="11.0"/>
      </rPr>
      <t>7</t>
    </r>
    <r>
      <rPr>
        <rFont val="Noto Sans CJK SC"/>
        <color theme="1"/>
        <sz val="11.0"/>
      </rPr>
      <t>月〜</t>
    </r>
    <r>
      <rPr>
        <rFont val="Arial"/>
        <color theme="1"/>
        <sz val="11.0"/>
      </rPr>
      <t>8</t>
    </r>
    <r>
      <rPr>
        <rFont val="Noto Sans CJK SC"/>
        <color theme="1"/>
        <sz val="11.0"/>
      </rPr>
      <t xml:space="preserve">月 </t>
    </r>
    <r>
      <rPr>
        <rFont val="Arial"/>
        <color theme="1"/>
        <sz val="11.0"/>
      </rPr>
      <t>(9</t>
    </r>
    <r>
      <rPr>
        <rFont val="Noto Sans CJK SC"/>
        <color theme="1"/>
        <sz val="11.0"/>
      </rPr>
      <t xml:space="preserve">週 </t>
    </r>
    <r>
      <rPr>
        <rFont val="Arial"/>
        <color theme="1"/>
        <sz val="11.0"/>
      </rPr>
      <t xml:space="preserve">× </t>
    </r>
    <r>
      <rPr>
        <rFont val="Noto Sans CJK SC"/>
        <color theme="1"/>
        <sz val="11.0"/>
      </rPr>
      <t>週</t>
    </r>
    <r>
      <rPr>
        <rFont val="Arial"/>
        <color theme="1"/>
        <sz val="11.0"/>
      </rPr>
      <t>2.25</t>
    </r>
    <r>
      <rPr>
        <rFont val="Noto Sans CJK SC"/>
        <color theme="1"/>
        <sz val="11.0"/>
      </rPr>
      <t>日 ★授業減で増加</t>
    </r>
    <r>
      <rPr>
        <rFont val="Arial"/>
        <color theme="1"/>
        <sz val="11.0"/>
      </rPr>
      <t>)</t>
    </r>
  </si>
  <si>
    <r>
      <rPr>
        <rFont val="Arial"/>
        <color theme="1"/>
        <sz val="11.0"/>
      </rPr>
      <t>9</t>
    </r>
    <r>
      <rPr>
        <rFont val="Noto Sans CJK SC"/>
        <color theme="1"/>
        <sz val="11.0"/>
      </rPr>
      <t>月〜</t>
    </r>
    <r>
      <rPr>
        <rFont val="Arial"/>
        <color theme="1"/>
        <sz val="11.0"/>
      </rPr>
      <t>10</t>
    </r>
    <r>
      <rPr>
        <rFont val="Noto Sans CJK SC"/>
        <color theme="1"/>
        <sz val="11.0"/>
      </rPr>
      <t xml:space="preserve">月中旬 </t>
    </r>
    <r>
      <rPr>
        <rFont val="Arial"/>
        <color theme="1"/>
        <sz val="11.0"/>
      </rPr>
      <t>(6</t>
    </r>
    <r>
      <rPr>
        <rFont val="Noto Sans CJK SC"/>
        <color theme="1"/>
        <sz val="11.0"/>
      </rPr>
      <t xml:space="preserve">週 </t>
    </r>
    <r>
      <rPr>
        <rFont val="Arial"/>
        <color theme="1"/>
        <sz val="11.0"/>
      </rPr>
      <t xml:space="preserve">× </t>
    </r>
    <r>
      <rPr>
        <rFont val="Noto Sans CJK SC"/>
        <color theme="1"/>
        <sz val="11.0"/>
      </rPr>
      <t>週</t>
    </r>
    <r>
      <rPr>
        <rFont val="Arial"/>
        <color theme="1"/>
        <sz val="11.0"/>
      </rPr>
      <t>1.5</t>
    </r>
    <r>
      <rPr>
        <rFont val="Noto Sans CJK SC"/>
        <color theme="1"/>
        <sz val="11.0"/>
      </rPr>
      <t>日</t>
    </r>
    <r>
      <rPr>
        <rFont val="Arial"/>
        <color theme="1"/>
        <sz val="11.0"/>
      </rPr>
      <t>)</t>
    </r>
  </si>
  <si>
    <t>稼働可能総工数</t>
  </si>
  <si>
    <r>
      <rPr>
        <rFont val="Noto Sans CJK SC"/>
        <b/>
        <color theme="1"/>
        <sz val="11.0"/>
      </rPr>
      <t xml:space="preserve">必要工数 </t>
    </r>
    <r>
      <rPr>
        <rFont val="Arial"/>
        <b/>
        <color theme="1"/>
        <sz val="11.0"/>
      </rPr>
      <t>(AI</t>
    </r>
    <r>
      <rPr>
        <rFont val="Noto Sans CJK SC"/>
        <b/>
        <color theme="1"/>
        <sz val="11.0"/>
      </rPr>
      <t>活用後・フルスコープ</t>
    </r>
    <r>
      <rPr>
        <rFont val="Arial"/>
        <b/>
        <color theme="1"/>
        <sz val="11.0"/>
      </rPr>
      <t>)</t>
    </r>
  </si>
  <si>
    <r>
      <rPr>
        <rFont val="Noto Sans CJK SC"/>
        <b/>
        <color theme="1"/>
        <sz val="11.0"/>
      </rPr>
      <t xml:space="preserve">稼働の余裕 </t>
    </r>
    <r>
      <rPr>
        <rFont val="Arial"/>
        <b/>
        <color theme="1"/>
        <sz val="11.0"/>
      </rPr>
      <t>(</t>
    </r>
    <r>
      <rPr>
        <rFont val="Noto Sans CJK SC"/>
        <b/>
        <color theme="1"/>
        <sz val="11.0"/>
      </rPr>
      <t>可能−必要</t>
    </r>
    <r>
      <rPr>
        <rFont val="Arial"/>
        <b/>
        <color theme="1"/>
        <sz val="11.0"/>
      </rPr>
      <t>)</t>
    </r>
  </si>
  <si>
    <r>
      <rPr>
        <rFont val="Noto Sans CJK SC"/>
        <b/>
        <color theme="1"/>
        <sz val="14.0"/>
      </rPr>
      <t xml:space="preserve">ブロック別 </t>
    </r>
    <r>
      <rPr>
        <rFont val="Arial"/>
        <b/>
        <color theme="1"/>
        <sz val="14.0"/>
      </rPr>
      <t>AI</t>
    </r>
    <r>
      <rPr>
        <rFont val="Noto Sans CJK SC"/>
        <b/>
        <color theme="1"/>
        <sz val="14.0"/>
      </rPr>
      <t>活用効果と費用サマリー</t>
    </r>
  </si>
  <si>
    <t>項目数</t>
  </si>
  <si>
    <r>
      <rPr>
        <rFont val="Arial"/>
        <b/>
        <color rgb="FFFFFFFF"/>
        <sz val="11.0"/>
      </rPr>
      <t>AI</t>
    </r>
    <r>
      <rPr>
        <rFont val="Noto Sans CJK SC"/>
        <b/>
        <color rgb="FFFFFFFF"/>
        <sz val="11.0"/>
      </rPr>
      <t>活用前
工数</t>
    </r>
    <r>
      <rPr>
        <rFont val="Arial"/>
        <b/>
        <color rgb="FFFFFFFF"/>
        <sz val="11.0"/>
      </rPr>
      <t>(</t>
    </r>
    <r>
      <rPr>
        <rFont val="Noto Sans CJK SC"/>
        <b/>
        <color rgb="FFFFFFFF"/>
        <sz val="11.0"/>
      </rPr>
      <t>人日</t>
    </r>
    <r>
      <rPr>
        <rFont val="Arial"/>
        <b/>
        <color rgb="FFFFFFFF"/>
        <sz val="11.0"/>
      </rPr>
      <t>)</t>
    </r>
  </si>
  <si>
    <r>
      <rPr>
        <rFont val="Arial"/>
        <b/>
        <color rgb="FFFFFFFF"/>
        <sz val="11.0"/>
      </rPr>
      <t>AI</t>
    </r>
    <r>
      <rPr>
        <rFont val="Noto Sans CJK SC"/>
        <b/>
        <color rgb="FFFFFFFF"/>
        <sz val="11.0"/>
      </rPr>
      <t>活用後
工数</t>
    </r>
    <r>
      <rPr>
        <rFont val="Arial"/>
        <b/>
        <color rgb="FFFFFFFF"/>
        <sz val="11.0"/>
      </rPr>
      <t>(</t>
    </r>
    <r>
      <rPr>
        <rFont val="Noto Sans CJK SC"/>
        <b/>
        <color rgb="FFFFFFFF"/>
        <sz val="11.0"/>
      </rPr>
      <t>人日</t>
    </r>
    <r>
      <rPr>
        <rFont val="Arial"/>
        <b/>
        <color rgb="FFFFFFFF"/>
        <sz val="11.0"/>
      </rPr>
      <t>)</t>
    </r>
  </si>
  <si>
    <r>
      <rPr>
        <rFont val="Noto Sans CJK SC"/>
        <b/>
        <color rgb="FFFFFFFF"/>
        <sz val="11.0"/>
      </rPr>
      <t xml:space="preserve">削減工数
</t>
    </r>
    <r>
      <rPr>
        <rFont val="Arial"/>
        <b/>
        <color rgb="FFFFFFFF"/>
        <sz val="11.0"/>
      </rPr>
      <t>(</t>
    </r>
    <r>
      <rPr>
        <rFont val="Noto Sans CJK SC"/>
        <b/>
        <color rgb="FFFFFFFF"/>
        <sz val="11.0"/>
      </rPr>
      <t>人日</t>
    </r>
    <r>
      <rPr>
        <rFont val="Arial"/>
        <b/>
        <color rgb="FFFFFFFF"/>
        <sz val="11.0"/>
      </rPr>
      <t>)</t>
    </r>
  </si>
  <si>
    <r>
      <rPr>
        <rFont val="Noto Sans CJK SC"/>
        <b/>
        <color rgb="FFFFFFFF"/>
        <sz val="11.0"/>
      </rPr>
      <t xml:space="preserve">削減率
</t>
    </r>
    <r>
      <rPr>
        <rFont val="Arial"/>
        <b/>
        <color rgb="FFFFFFFF"/>
        <sz val="11.0"/>
      </rPr>
      <t>(%)</t>
    </r>
  </si>
  <si>
    <r>
      <rPr>
        <rFont val="Noto Sans CJK SC"/>
        <b/>
        <color rgb="FFFFFFFF"/>
        <sz val="11.0"/>
      </rPr>
      <t xml:space="preserve">人件費合計
</t>
    </r>
    <r>
      <rPr>
        <rFont val="Arial"/>
        <b/>
        <color rgb="FFFFFFFF"/>
        <sz val="11.0"/>
      </rPr>
      <t>(</t>
    </r>
    <r>
      <rPr>
        <rFont val="Noto Sans CJK SC"/>
        <b/>
        <color rgb="FFFFFFFF"/>
        <sz val="11.0"/>
      </rPr>
      <t>円</t>
    </r>
    <r>
      <rPr>
        <rFont val="Arial"/>
        <b/>
        <color rgb="FFFFFFFF"/>
        <sz val="11.0"/>
      </rPr>
      <t>)</t>
    </r>
  </si>
  <si>
    <r>
      <rPr>
        <rFont val="Noto Sans CJK SC"/>
        <b/>
        <color rgb="FFFFFFFF"/>
        <sz val="11.0"/>
      </rPr>
      <t xml:space="preserve">実際にかかる費用合計
</t>
    </r>
    <r>
      <rPr>
        <rFont val="Arial"/>
        <b/>
        <color rgb="FFFFFFFF"/>
        <sz val="11.0"/>
      </rPr>
      <t>(</t>
    </r>
    <r>
      <rPr>
        <rFont val="Noto Sans CJK SC"/>
        <b/>
        <color rgb="FFFFFFFF"/>
        <sz val="11.0"/>
      </rPr>
      <t>円</t>
    </r>
    <r>
      <rPr>
        <rFont val="Arial"/>
        <b/>
        <color rgb="FFFFFFFF"/>
        <sz val="11.0"/>
      </rPr>
      <t>)</t>
    </r>
  </si>
  <si>
    <r>
      <rPr>
        <rFont val="Arial"/>
        <b/>
        <color theme="1"/>
        <sz val="11.0"/>
      </rPr>
      <t xml:space="preserve">(1) </t>
    </r>
    <r>
      <rPr>
        <rFont val="Noto Sans CJK SC"/>
        <b/>
        <color theme="1"/>
        <sz val="11.0"/>
      </rPr>
      <t>政策及び制度調査</t>
    </r>
  </si>
  <si>
    <r>
      <rPr>
        <rFont val="Arial"/>
        <b/>
        <color theme="1"/>
        <sz val="11.0"/>
      </rPr>
      <t xml:space="preserve">(2) </t>
    </r>
    <r>
      <rPr>
        <rFont val="Noto Sans CJK SC"/>
        <b/>
        <color theme="1"/>
        <sz val="11.0"/>
      </rPr>
      <t>技術及び手法の調査</t>
    </r>
  </si>
  <si>
    <r>
      <rPr>
        <rFont val="Arial"/>
        <b/>
        <color theme="1"/>
        <sz val="11.0"/>
      </rPr>
      <t xml:space="preserve">(3) </t>
    </r>
    <r>
      <rPr>
        <rFont val="Noto Sans CJK SC"/>
        <b/>
        <color theme="1"/>
        <sz val="11.0"/>
      </rPr>
      <t>制度を支える情報基盤の構造把握</t>
    </r>
  </si>
  <si>
    <r>
      <rPr>
        <rFont val="Arial"/>
        <b/>
        <color theme="1"/>
        <sz val="11.0"/>
      </rPr>
      <t xml:space="preserve">(4) </t>
    </r>
    <r>
      <rPr>
        <rFont val="Noto Sans CJK SC"/>
        <b/>
        <color theme="1"/>
        <sz val="11.0"/>
      </rPr>
      <t>関係機関及び専門家調査</t>
    </r>
  </si>
  <si>
    <r>
      <rPr>
        <rFont val="Noto Sans CJK SC"/>
        <b/>
        <color theme="1"/>
        <sz val="11.0"/>
      </rPr>
      <t xml:space="preserve">横断業務 </t>
    </r>
    <r>
      <rPr>
        <rFont val="Arial"/>
        <b/>
        <color theme="1"/>
        <sz val="11.0"/>
      </rPr>
      <t>(</t>
    </r>
    <r>
      <rPr>
        <rFont val="Noto Sans CJK SC"/>
        <b/>
        <color theme="1"/>
        <sz val="11.0"/>
      </rPr>
      <t>統合・</t>
    </r>
    <r>
      <rPr>
        <rFont val="Arial"/>
        <b/>
        <color theme="1"/>
        <sz val="11.0"/>
      </rPr>
      <t>PMO)</t>
    </r>
  </si>
  <si>
    <r>
      <rPr>
        <rFont val="Arial"/>
        <b/>
        <color theme="1"/>
        <sz val="11.0"/>
      </rPr>
      <t>AI</t>
    </r>
    <r>
      <rPr>
        <rFont val="Noto Sans CJK SC"/>
        <b/>
        <color theme="1"/>
        <sz val="11.0"/>
      </rPr>
      <t>利用ツール費用</t>
    </r>
  </si>
  <si>
    <r>
      <rPr>
        <rFont val="Noto Sans CJK SC"/>
        <b/>
        <color theme="1"/>
        <sz val="11.0"/>
      </rPr>
      <t xml:space="preserve">差額 </t>
    </r>
    <r>
      <rPr>
        <rFont val="Arial"/>
        <b/>
        <color theme="1"/>
        <sz val="11.0"/>
      </rPr>
      <t>(</t>
    </r>
    <r>
      <rPr>
        <rFont val="Noto Sans CJK SC"/>
        <b/>
        <color theme="1"/>
        <sz val="11.0"/>
      </rPr>
      <t>予算 − 見積</t>
    </r>
    <r>
      <rPr>
        <rFont val="Arial"/>
        <b/>
        <color theme="1"/>
        <sz val="11.0"/>
      </rPr>
      <t>)</t>
    </r>
  </si>
  <si>
    <r>
      <rPr>
        <rFont val="Calibri"/>
        <color theme="1"/>
        <sz val="11.0"/>
      </rPr>
      <t>5</t>
    </r>
    <r>
      <rPr>
        <rFont val="Noto Sans CJK SC"/>
        <color theme="1"/>
        <sz val="11.0"/>
      </rPr>
      <t>月〜</t>
    </r>
    <r>
      <rPr>
        <rFont val="Calibri"/>
        <color theme="1"/>
        <sz val="11.0"/>
      </rPr>
      <t>6</t>
    </r>
    <r>
      <rPr>
        <rFont val="Noto Sans CJK SC"/>
        <color theme="1"/>
        <sz val="11.0"/>
      </rPr>
      <t xml:space="preserve">月 </t>
    </r>
    <r>
      <rPr>
        <rFont val="Calibri"/>
        <color theme="1"/>
        <sz val="11.0"/>
      </rPr>
      <t>(9</t>
    </r>
    <r>
      <rPr>
        <rFont val="Noto Sans CJK SC"/>
        <color theme="1"/>
        <sz val="11.0"/>
      </rPr>
      <t xml:space="preserve">週 </t>
    </r>
    <r>
      <rPr>
        <rFont val="Calibri"/>
        <color theme="1"/>
        <sz val="11.0"/>
      </rPr>
      <t xml:space="preserve">× </t>
    </r>
    <r>
      <rPr>
        <rFont val="Noto Sans CJK SC"/>
        <color theme="1"/>
        <sz val="11.0"/>
      </rPr>
      <t>週</t>
    </r>
    <r>
      <rPr>
        <rFont val="Calibri"/>
        <color theme="1"/>
        <sz val="11.0"/>
      </rPr>
      <t>1.5</t>
    </r>
    <r>
      <rPr>
        <rFont val="Noto Sans CJK SC"/>
        <color theme="1"/>
        <sz val="11.0"/>
      </rPr>
      <t>日</t>
    </r>
    <r>
      <rPr>
        <rFont val="Calibri"/>
        <color theme="1"/>
        <sz val="11.0"/>
      </rPr>
      <t>)</t>
    </r>
  </si>
  <si>
    <r>
      <rPr>
        <rFont val="Calibri"/>
        <color theme="1"/>
        <sz val="11.0"/>
      </rPr>
      <t>7</t>
    </r>
    <r>
      <rPr>
        <rFont val="Noto Sans CJK SC"/>
        <color theme="1"/>
        <sz val="11.0"/>
      </rPr>
      <t>月〜</t>
    </r>
    <r>
      <rPr>
        <rFont val="Calibri"/>
        <color theme="1"/>
        <sz val="11.0"/>
      </rPr>
      <t>8</t>
    </r>
    <r>
      <rPr>
        <rFont val="Noto Sans CJK SC"/>
        <color theme="1"/>
        <sz val="11.0"/>
      </rPr>
      <t xml:space="preserve">月 </t>
    </r>
    <r>
      <rPr>
        <rFont val="Calibri"/>
        <color theme="1"/>
        <sz val="11.0"/>
      </rPr>
      <t>(9</t>
    </r>
    <r>
      <rPr>
        <rFont val="Noto Sans CJK SC"/>
        <color theme="1"/>
        <sz val="11.0"/>
      </rPr>
      <t xml:space="preserve">週 </t>
    </r>
    <r>
      <rPr>
        <rFont val="Calibri"/>
        <color theme="1"/>
        <sz val="11.0"/>
      </rPr>
      <t xml:space="preserve">× </t>
    </r>
    <r>
      <rPr>
        <rFont val="Noto Sans CJK SC"/>
        <color theme="1"/>
        <sz val="11.0"/>
      </rPr>
      <t>週</t>
    </r>
    <r>
      <rPr>
        <rFont val="Calibri"/>
        <color theme="1"/>
        <sz val="11.0"/>
      </rPr>
      <t>2.25</t>
    </r>
    <r>
      <rPr>
        <rFont val="Noto Sans CJK SC"/>
        <color theme="1"/>
        <sz val="11.0"/>
      </rPr>
      <t>日 ★授業減で増加</t>
    </r>
    <r>
      <rPr>
        <rFont val="Calibri"/>
        <color theme="1"/>
        <sz val="11.0"/>
      </rPr>
      <t>)</t>
    </r>
  </si>
  <si>
    <r>
      <rPr>
        <rFont val="Calibri"/>
        <color theme="1"/>
        <sz val="11.0"/>
      </rPr>
      <t>9</t>
    </r>
    <r>
      <rPr>
        <rFont val="Noto Sans CJK SC"/>
        <color theme="1"/>
        <sz val="11.0"/>
      </rPr>
      <t>月〜</t>
    </r>
    <r>
      <rPr>
        <rFont val="Calibri"/>
        <color theme="1"/>
        <sz val="11.0"/>
      </rPr>
      <t>10</t>
    </r>
    <r>
      <rPr>
        <rFont val="Noto Sans CJK SC"/>
        <color theme="1"/>
        <sz val="11.0"/>
      </rPr>
      <t xml:space="preserve">月中旬 </t>
    </r>
    <r>
      <rPr>
        <rFont val="Calibri"/>
        <color theme="1"/>
        <sz val="11.0"/>
      </rPr>
      <t>(6</t>
    </r>
    <r>
      <rPr>
        <rFont val="Noto Sans CJK SC"/>
        <color theme="1"/>
        <sz val="11.0"/>
      </rPr>
      <t xml:space="preserve">週 </t>
    </r>
    <r>
      <rPr>
        <rFont val="Calibri"/>
        <color theme="1"/>
        <sz val="11.0"/>
      </rPr>
      <t xml:space="preserve">× </t>
    </r>
    <r>
      <rPr>
        <rFont val="Noto Sans CJK SC"/>
        <color theme="1"/>
        <sz val="11.0"/>
      </rPr>
      <t>週</t>
    </r>
    <r>
      <rPr>
        <rFont val="Calibri"/>
        <color theme="1"/>
        <sz val="11.0"/>
      </rPr>
      <t>1.5</t>
    </r>
    <r>
      <rPr>
        <rFont val="Noto Sans CJK SC"/>
        <color theme="1"/>
        <sz val="11.0"/>
      </rPr>
      <t>日</t>
    </r>
    <r>
      <rPr>
        <rFont val="Calibri"/>
        <color theme="1"/>
        <sz val="11.0"/>
      </rPr>
      <t>)</t>
    </r>
  </si>
  <si>
    <r>
      <rPr>
        <rFont val="Noto Sans CJK SC"/>
        <b/>
        <color theme="1"/>
        <sz val="11.0"/>
      </rPr>
      <t xml:space="preserve">必要工数 </t>
    </r>
    <r>
      <rPr>
        <rFont val="Arial"/>
        <b/>
        <color theme="1"/>
        <sz val="11.0"/>
      </rPr>
      <t>(AI</t>
    </r>
    <r>
      <rPr>
        <rFont val="Noto Sans CJK SC"/>
        <b/>
        <color theme="1"/>
        <sz val="11.0"/>
      </rPr>
      <t>活用後</t>
    </r>
    <r>
      <rPr>
        <rFont val="Arial"/>
        <b/>
        <color theme="1"/>
        <sz val="11.0"/>
      </rPr>
      <t>)</t>
    </r>
  </si>
  <si>
    <t>稼働の余裕</t>
  </si>
  <si>
    <r>
      <rPr>
        <rFont val="Noto Sans CJK SC"/>
        <b/>
        <color theme="1"/>
        <sz val="12.0"/>
      </rPr>
      <t>【</t>
    </r>
    <r>
      <rPr>
        <rFont val="Arial"/>
        <b/>
        <color theme="1"/>
        <sz val="12.0"/>
      </rPr>
      <t>AI</t>
    </r>
    <r>
      <rPr>
        <rFont val="Noto Sans CJK SC"/>
        <b/>
        <color theme="1"/>
        <sz val="12.0"/>
      </rPr>
      <t>活用提案サマリー】</t>
    </r>
  </si>
  <si>
    <r>
      <rPr>
        <rFont val="Noto Sans CJK SC"/>
        <b/>
        <color theme="1"/>
        <sz val="10.0"/>
      </rPr>
      <t xml:space="preserve">■ 高削減群 </t>
    </r>
    <r>
      <rPr>
        <rFont val="Arial"/>
        <b/>
        <color theme="1"/>
        <sz val="10.0"/>
      </rPr>
      <t>(</t>
    </r>
    <r>
      <rPr>
        <rFont val="Noto Sans CJK SC"/>
        <b/>
        <color theme="1"/>
        <sz val="10.0"/>
      </rPr>
      <t>削減率</t>
    </r>
    <r>
      <rPr>
        <rFont val="Arial"/>
        <b/>
        <color theme="1"/>
        <sz val="10.0"/>
      </rPr>
      <t xml:space="preserve">60%): </t>
    </r>
    <r>
      <rPr>
        <rFont val="Noto Sans CJK SC"/>
        <b/>
        <color theme="1"/>
        <sz val="10.0"/>
      </rPr>
      <t>フランス語文献の翻訳・要約・論点抽出</t>
    </r>
  </si>
  <si>
    <r>
      <rPr>
        <rFont val="Arial"/>
        <color theme="1"/>
        <sz val="10.0"/>
      </rPr>
      <t xml:space="preserve">   → Claude/ChatGPT</t>
    </r>
    <r>
      <rPr>
        <rFont val="Noto Sans CJK SC"/>
        <color theme="1"/>
        <sz val="10.0"/>
      </rPr>
      <t xml:space="preserve">で初稿生成 </t>
    </r>
    <r>
      <rPr>
        <rFont val="Arial"/>
        <color theme="1"/>
        <sz val="10.0"/>
      </rPr>
      <t>+ DeepL</t>
    </r>
    <r>
      <rPr>
        <rFont val="Noto Sans CJK SC"/>
        <color theme="1"/>
        <sz val="10.0"/>
      </rPr>
      <t>で翻訳補助。人間は妥当性検証と修正のみ。</t>
    </r>
  </si>
  <si>
    <r>
      <rPr>
        <rFont val="Noto Sans CJK SC"/>
        <color theme="1"/>
        <sz val="10.0"/>
      </rPr>
      <t xml:space="preserve">   → 対象</t>
    </r>
    <r>
      <rPr>
        <rFont val="Arial"/>
        <color theme="1"/>
        <sz val="10.0"/>
      </rPr>
      <t xml:space="preserve">: </t>
    </r>
    <r>
      <rPr>
        <rFont val="Noto Sans CJK SC"/>
        <color theme="1"/>
        <sz val="10.0"/>
      </rPr>
      <t>ブロック</t>
    </r>
    <r>
      <rPr>
        <rFont val="Arial"/>
        <color theme="1"/>
        <sz val="10.0"/>
      </rPr>
      <t>(1)</t>
    </r>
    <r>
      <rPr>
        <rFont val="Noto Sans CJK SC"/>
        <color theme="1"/>
        <sz val="10.0"/>
      </rPr>
      <t>制度化背景全般、</t>
    </r>
    <r>
      <rPr>
        <rFont val="Arial"/>
        <color theme="1"/>
        <sz val="10.0"/>
      </rPr>
      <t>INIES</t>
    </r>
    <r>
      <rPr>
        <rFont val="Noto Sans CJK SC"/>
        <color theme="1"/>
        <sz val="10.0"/>
      </rPr>
      <t>データベース構造分析、結果表示方式等</t>
    </r>
  </si>
  <si>
    <r>
      <rPr>
        <rFont val="Noto Sans CJK SC"/>
        <b/>
        <color theme="1"/>
        <sz val="10.0"/>
      </rPr>
      <t xml:space="preserve">■ 中削減群 </t>
    </r>
    <r>
      <rPr>
        <rFont val="Arial"/>
        <b/>
        <color theme="1"/>
        <sz val="10.0"/>
      </rPr>
      <t>(</t>
    </r>
    <r>
      <rPr>
        <rFont val="Noto Sans CJK SC"/>
        <b/>
        <color theme="1"/>
        <sz val="10.0"/>
      </rPr>
      <t>削減率</t>
    </r>
    <r>
      <rPr>
        <rFont val="Arial"/>
        <b/>
        <color theme="1"/>
        <sz val="10.0"/>
      </rPr>
      <t xml:space="preserve">40-50%): </t>
    </r>
    <r>
      <rPr>
        <rFont val="Noto Sans CJK SC"/>
        <b/>
        <color theme="1"/>
        <sz val="10.0"/>
      </rPr>
      <t>概念整理・比較表・データ構造分析</t>
    </r>
  </si>
  <si>
    <r>
      <rPr>
        <rFont val="Arial"/>
        <color theme="1"/>
        <sz val="10.0"/>
      </rPr>
      <t xml:space="preserve">   → AI</t>
    </r>
    <r>
      <rPr>
        <rFont val="Noto Sans CJK SC"/>
        <color theme="1"/>
        <sz val="10.0"/>
      </rPr>
      <t>で比較表・概念図の初稿、人間が専門的精査。</t>
    </r>
  </si>
  <si>
    <r>
      <rPr>
        <rFont val="Noto Sans CJK SC"/>
        <color theme="1"/>
        <sz val="10.0"/>
      </rPr>
      <t xml:space="preserve">   → 対象</t>
    </r>
    <r>
      <rPr>
        <rFont val="Arial"/>
        <color theme="1"/>
        <sz val="10.0"/>
      </rPr>
      <t xml:space="preserve">: </t>
    </r>
    <r>
      <rPr>
        <rFont val="Noto Sans CJK SC"/>
        <color theme="1"/>
        <sz val="10.0"/>
      </rPr>
      <t>静的</t>
    </r>
    <r>
      <rPr>
        <rFont val="Arial"/>
        <color theme="1"/>
        <sz val="10.0"/>
      </rPr>
      <t>vs</t>
    </r>
    <r>
      <rPr>
        <rFont val="Noto Sans CJK SC"/>
        <color theme="1"/>
        <sz val="10.0"/>
      </rPr>
      <t>動的</t>
    </r>
    <r>
      <rPr>
        <rFont val="Arial"/>
        <color theme="1"/>
        <sz val="10.0"/>
      </rPr>
      <t>LCA</t>
    </r>
    <r>
      <rPr>
        <rFont val="Noto Sans CJK SC"/>
        <color theme="1"/>
        <sz val="10.0"/>
      </rPr>
      <t>比較、</t>
    </r>
    <r>
      <rPr>
        <rFont val="Arial"/>
        <color theme="1"/>
        <sz val="10.0"/>
      </rPr>
      <t>A-D</t>
    </r>
    <r>
      <rPr>
        <rFont val="Noto Sans CJK SC"/>
        <color theme="1"/>
        <sz val="10.0"/>
      </rPr>
      <t>モジュール構造、評価指標整理等</t>
    </r>
  </si>
  <si>
    <r>
      <rPr>
        <rFont val="Noto Sans CJK SC"/>
        <b/>
        <color theme="1"/>
        <sz val="10.0"/>
      </rPr>
      <t xml:space="preserve">■ 低削減群 </t>
    </r>
    <r>
      <rPr>
        <rFont val="Arial"/>
        <b/>
        <color theme="1"/>
        <sz val="10.0"/>
      </rPr>
      <t>(</t>
    </r>
    <r>
      <rPr>
        <rFont val="Noto Sans CJK SC"/>
        <b/>
        <color theme="1"/>
        <sz val="10.0"/>
      </rPr>
      <t>削減率</t>
    </r>
    <r>
      <rPr>
        <rFont val="Arial"/>
        <b/>
        <color theme="1"/>
        <sz val="10.0"/>
      </rPr>
      <t xml:space="preserve">20-30%): </t>
    </r>
    <r>
      <rPr>
        <rFont val="Noto Sans CJK SC"/>
        <b/>
        <color theme="1"/>
        <sz val="10.0"/>
      </rPr>
      <t>専門解釈・計算根拠の精査</t>
    </r>
  </si>
  <si>
    <r>
      <rPr>
        <rFont val="Arial"/>
        <color theme="1"/>
        <sz val="10.0"/>
      </rPr>
      <t xml:space="preserve">   → AI</t>
    </r>
    <r>
      <rPr>
        <rFont val="Noto Sans CJK SC"/>
        <color theme="1"/>
        <sz val="10.0"/>
      </rPr>
      <t>は資料整理・論点抽出のみ。最終解釈は人間。</t>
    </r>
  </si>
  <si>
    <r>
      <rPr>
        <rFont val="Noto Sans CJK SC"/>
        <color theme="1"/>
        <sz val="10.0"/>
      </rPr>
      <t xml:space="preserve">   → 対象</t>
    </r>
    <r>
      <rPr>
        <rFont val="Arial"/>
        <color theme="1"/>
        <sz val="10.0"/>
      </rPr>
      <t xml:space="preserve">: </t>
    </r>
    <r>
      <rPr>
        <rFont val="Noto Sans CJK SC"/>
        <color theme="1"/>
        <sz val="10.0"/>
      </rPr>
      <t>遅延排出評価根拠、貯蔵量算定方法、放射強制力等</t>
    </r>
  </si>
  <si>
    <r>
      <rPr>
        <rFont val="Noto Sans CJK SC"/>
        <b/>
        <color theme="1"/>
        <sz val="10.0"/>
      </rPr>
      <t xml:space="preserve">■ 極低削減群 </t>
    </r>
    <r>
      <rPr>
        <rFont val="Arial"/>
        <b/>
        <color theme="1"/>
        <sz val="10.0"/>
      </rPr>
      <t>(</t>
    </r>
    <r>
      <rPr>
        <rFont val="Noto Sans CJK SC"/>
        <b/>
        <color theme="1"/>
        <sz val="10.0"/>
      </rPr>
      <t>削減率</t>
    </r>
    <r>
      <rPr>
        <rFont val="Arial"/>
        <b/>
        <color theme="1"/>
        <sz val="10.0"/>
      </rPr>
      <t xml:space="preserve">10-25%): </t>
    </r>
    <r>
      <rPr>
        <rFont val="Noto Sans CJK SC"/>
        <b/>
        <color theme="1"/>
        <sz val="10.0"/>
      </rPr>
      <t>ヒアリング実施</t>
    </r>
  </si>
  <si>
    <r>
      <rPr>
        <rFont val="Arial"/>
        <color theme="1"/>
        <sz val="10.0"/>
      </rPr>
      <t xml:space="preserve">   → AI</t>
    </r>
    <r>
      <rPr>
        <rFont val="Noto Sans CJK SC"/>
        <color theme="1"/>
        <sz val="10.0"/>
      </rPr>
      <t>は質問票作成・議事録要約・後処理のみ。実施は人間。</t>
    </r>
  </si>
  <si>
    <r>
      <rPr>
        <rFont val="Noto Sans CJK SC"/>
        <color theme="1"/>
        <sz val="10.0"/>
      </rPr>
      <t xml:space="preserve">   → 対象</t>
    </r>
    <r>
      <rPr>
        <rFont val="Arial"/>
        <color theme="1"/>
        <sz val="10.0"/>
      </rPr>
      <t xml:space="preserve">: </t>
    </r>
    <r>
      <rPr>
        <rFont val="Noto Sans CJK SC"/>
        <color theme="1"/>
        <sz val="10.0"/>
      </rPr>
      <t>ブロック</t>
    </r>
    <r>
      <rPr>
        <rFont val="Arial"/>
        <color theme="1"/>
        <sz val="10.0"/>
      </rPr>
      <t>(4)</t>
    </r>
    <r>
      <rPr>
        <rFont val="Noto Sans CJK SC"/>
        <color theme="1"/>
        <sz val="10.0"/>
      </rPr>
      <t>全項目</t>
    </r>
  </si>
  <si>
    <r>
      <rPr>
        <rFont val="Noto Sans CJK SC"/>
        <b/>
        <color theme="1"/>
        <sz val="10.0"/>
      </rPr>
      <t>【</t>
    </r>
    <r>
      <rPr>
        <rFont val="Arial"/>
        <b/>
        <color theme="1"/>
        <sz val="10.0"/>
      </rPr>
      <t>AI</t>
    </r>
    <r>
      <rPr>
        <rFont val="Noto Sans CJK SC"/>
        <b/>
        <color theme="1"/>
        <sz val="10.0"/>
      </rPr>
      <t>活用上の重要な注意点】</t>
    </r>
  </si>
  <si>
    <r>
      <rPr>
        <rFont val="Noto Sans CJK SC"/>
        <color theme="1"/>
        <sz val="10.0"/>
      </rPr>
      <t>・ハルシネーション対策</t>
    </r>
    <r>
      <rPr>
        <rFont val="Arial"/>
        <color theme="1"/>
        <sz val="10.0"/>
      </rPr>
      <t xml:space="preserve">: </t>
    </r>
    <r>
      <rPr>
        <rFont val="Noto Sans CJK SC"/>
        <color theme="1"/>
        <sz val="10.0"/>
      </rPr>
      <t>フランス語原文への必ずトレース、</t>
    </r>
    <r>
      <rPr>
        <rFont val="Arial"/>
        <color theme="1"/>
        <sz val="10.0"/>
      </rPr>
      <t>AI</t>
    </r>
    <r>
      <rPr>
        <rFont val="Noto Sans CJK SC"/>
        <color theme="1"/>
        <sz val="10.0"/>
      </rPr>
      <t>出力の</t>
    </r>
    <r>
      <rPr>
        <rFont val="Arial"/>
        <color theme="1"/>
        <sz val="10.0"/>
      </rPr>
      <t>100%</t>
    </r>
    <r>
      <rPr>
        <rFont val="Noto Sans CJK SC"/>
        <color theme="1"/>
        <sz val="10.0"/>
      </rPr>
      <t>人間検証</t>
    </r>
  </si>
  <si>
    <r>
      <rPr>
        <rFont val="Noto Sans CJK SC"/>
        <color theme="1"/>
        <sz val="10.0"/>
      </rPr>
      <t>・専門用語の対訳辞書を初期に整備し、</t>
    </r>
    <r>
      <rPr>
        <rFont val="Arial"/>
        <color theme="1"/>
        <sz val="10.0"/>
      </rPr>
      <t>AI</t>
    </r>
    <r>
      <rPr>
        <rFont val="Noto Sans CJK SC"/>
        <color theme="1"/>
        <sz val="10.0"/>
      </rPr>
      <t>に参照させる</t>
    </r>
  </si>
  <si>
    <r>
      <rPr>
        <rFont val="Noto Sans CJK SC"/>
        <color theme="1"/>
        <sz val="10.0"/>
      </rPr>
      <t>・機密性</t>
    </r>
    <r>
      <rPr>
        <rFont val="Arial"/>
        <color theme="1"/>
        <sz val="10.0"/>
      </rPr>
      <t xml:space="preserve">: </t>
    </r>
    <r>
      <rPr>
        <rFont val="Noto Sans CJK SC"/>
        <color theme="1"/>
        <sz val="10.0"/>
      </rPr>
      <t>ヒアリング相手から得た非公開情報は</t>
    </r>
    <r>
      <rPr>
        <rFont val="Arial"/>
        <color theme="1"/>
        <sz val="10.0"/>
      </rPr>
      <t>AI</t>
    </r>
    <r>
      <rPr>
        <rFont val="Noto Sans CJK SC"/>
        <color theme="1"/>
        <sz val="10.0"/>
      </rPr>
      <t>に直接投入しない</t>
    </r>
  </si>
  <si>
    <r>
      <rPr>
        <rFont val="Noto Sans CJK SC"/>
        <color theme="1"/>
        <sz val="10.0"/>
      </rPr>
      <t>・</t>
    </r>
    <r>
      <rPr>
        <rFont val="Arial"/>
        <color theme="1"/>
        <sz val="10.0"/>
      </rPr>
      <t>AI</t>
    </r>
    <r>
      <rPr>
        <rFont val="Noto Sans CJK SC"/>
        <color theme="1"/>
        <sz val="10.0"/>
      </rPr>
      <t>出力をそのまま納品物に流用せず、必ず編集・統合する</t>
    </r>
  </si>
  <si>
    <r>
      <rPr>
        <rFont val="Noto Sans CJK SC"/>
        <b/>
        <color theme="1"/>
        <sz val="14.0"/>
      </rPr>
      <t xml:space="preserve">実施スケジュール </t>
    </r>
    <r>
      <rPr>
        <rFont val="Arial"/>
        <b/>
        <color theme="1"/>
        <sz val="14.0"/>
      </rPr>
      <t>(2026</t>
    </r>
    <r>
      <rPr>
        <rFont val="Noto Sans CJK SC"/>
        <b/>
        <color theme="1"/>
        <sz val="14.0"/>
      </rPr>
      <t>年</t>
    </r>
    <r>
      <rPr>
        <rFont val="Arial"/>
        <b/>
        <color theme="1"/>
        <sz val="14.0"/>
      </rPr>
      <t>5</t>
    </r>
    <r>
      <rPr>
        <rFont val="Noto Sans CJK SC"/>
        <b/>
        <color theme="1"/>
        <sz val="14.0"/>
      </rPr>
      <t>月〜</t>
    </r>
    <r>
      <rPr>
        <rFont val="Arial"/>
        <b/>
        <color theme="1"/>
        <sz val="14.0"/>
      </rPr>
      <t>10</t>
    </r>
    <r>
      <rPr>
        <rFont val="Noto Sans CJK SC"/>
        <b/>
        <color theme="1"/>
        <sz val="14.0"/>
      </rPr>
      <t>月中旬</t>
    </r>
    <r>
      <rPr>
        <rFont val="Arial"/>
        <b/>
        <color theme="1"/>
        <sz val="14.0"/>
      </rPr>
      <t>)</t>
    </r>
  </si>
  <si>
    <t>フェーズ</t>
  </si>
  <si>
    <t>期間</t>
  </si>
  <si>
    <t>主な作業</t>
  </si>
  <si>
    <r>
      <rPr>
        <rFont val="Noto Sans CJK SC"/>
        <b/>
        <color rgb="FFFFFFFF"/>
        <sz val="11.0"/>
      </rPr>
      <t>工数</t>
    </r>
    <r>
      <rPr>
        <rFont val="Arial"/>
        <b/>
        <color rgb="FFFFFFFF"/>
        <sz val="11.0"/>
      </rPr>
      <t>(</t>
    </r>
    <r>
      <rPr>
        <rFont val="Noto Sans CJK SC"/>
        <b/>
        <color rgb="FFFFFFFF"/>
        <sz val="11.0"/>
      </rPr>
      <t>人日</t>
    </r>
    <r>
      <rPr>
        <rFont val="Arial"/>
        <b/>
        <color rgb="FFFFFFFF"/>
        <sz val="11.0"/>
      </rPr>
      <t>)</t>
    </r>
  </si>
  <si>
    <r>
      <rPr>
        <rFont val="Arial"/>
        <b/>
        <color theme="1"/>
        <sz val="11.0"/>
      </rPr>
      <t xml:space="preserve">Phase 1: </t>
    </r>
    <r>
      <rPr>
        <rFont val="Noto Sans CJK SC"/>
        <b/>
        <color theme="1"/>
        <sz val="11.0"/>
      </rPr>
      <t>制度化背景・基礎ガイダンス</t>
    </r>
  </si>
  <si>
    <r>
      <rPr>
        <rFont val="Arial"/>
        <color theme="1"/>
        <sz val="11.0"/>
      </rPr>
      <t>2026</t>
    </r>
    <r>
      <rPr>
        <rFont val="Noto Sans CJK SC"/>
        <color theme="1"/>
        <sz val="11.0"/>
      </rPr>
      <t>年</t>
    </r>
    <r>
      <rPr>
        <rFont val="Arial"/>
        <color theme="1"/>
        <sz val="11.0"/>
      </rPr>
      <t>5</t>
    </r>
    <r>
      <rPr>
        <rFont val="Noto Sans CJK SC"/>
        <color theme="1"/>
        <sz val="11.0"/>
      </rPr>
      <t xml:space="preserve">月上旬 〜 </t>
    </r>
    <r>
      <rPr>
        <rFont val="Arial"/>
        <color theme="1"/>
        <sz val="11.0"/>
      </rPr>
      <t>6</t>
    </r>
    <r>
      <rPr>
        <rFont val="Noto Sans CJK SC"/>
        <color theme="1"/>
        <sz val="11.0"/>
      </rPr>
      <t xml:space="preserve">月初旬 </t>
    </r>
    <r>
      <rPr>
        <rFont val="Arial"/>
        <color theme="1"/>
        <sz val="11.0"/>
      </rPr>
      <t>(</t>
    </r>
    <r>
      <rPr>
        <rFont val="Noto Sans CJK SC"/>
        <color theme="1"/>
        <sz val="11.0"/>
      </rPr>
      <t>約</t>
    </r>
    <r>
      <rPr>
        <rFont val="Arial"/>
        <color theme="1"/>
        <sz val="11.0"/>
      </rPr>
      <t>5</t>
    </r>
    <r>
      <rPr>
        <rFont val="Noto Sans CJK SC"/>
        <color theme="1"/>
        <sz val="11.0"/>
      </rPr>
      <t>週</t>
    </r>
    <r>
      <rPr>
        <rFont val="Arial"/>
        <color theme="1"/>
        <sz val="11.0"/>
      </rPr>
      <t>)</t>
    </r>
  </si>
  <si>
    <r>
      <rPr>
        <rFont val="Noto Sans CJK SC"/>
        <color theme="1"/>
        <sz val="11.0"/>
      </rPr>
      <t>ブロック</t>
    </r>
    <r>
      <rPr>
        <rFont val="Arial"/>
        <color theme="1"/>
        <sz val="11.0"/>
      </rPr>
      <t>(1)①</t>
    </r>
    <r>
      <rPr>
        <rFont val="Noto Sans CJK SC"/>
        <color theme="1"/>
        <sz val="11.0"/>
      </rPr>
      <t xml:space="preserve">ア・イ・ウ </t>
    </r>
    <r>
      <rPr>
        <rFont val="Arial"/>
        <color theme="1"/>
        <sz val="11.0"/>
      </rPr>
      <t>+ ④</t>
    </r>
    <r>
      <rPr>
        <rFont val="Noto Sans CJK SC"/>
        <color theme="1"/>
        <sz val="11.0"/>
      </rPr>
      <t xml:space="preserve">全般 </t>
    </r>
    <r>
      <rPr>
        <rFont val="Arial"/>
        <color theme="1"/>
        <sz val="11.0"/>
      </rPr>
      <t>(RE2020</t>
    </r>
    <r>
      <rPr>
        <rFont val="Noto Sans CJK SC"/>
        <color theme="1"/>
        <sz val="11.0"/>
      </rPr>
      <t>全体構造、制度導入背景、フランス林業戦略との関係性</t>
    </r>
    <r>
      <rPr>
        <rFont val="Arial"/>
        <color theme="1"/>
        <sz val="11.0"/>
      </rPr>
      <t>)</t>
    </r>
    <r>
      <rPr>
        <rFont val="Noto Sans CJK SC"/>
        <color theme="1"/>
        <sz val="11.0"/>
      </rPr>
      <t>。</t>
    </r>
    <r>
      <rPr>
        <rFont val="Arial"/>
        <color theme="1"/>
        <sz val="11.0"/>
      </rPr>
      <t>AI</t>
    </r>
    <r>
      <rPr>
        <rFont val="Noto Sans CJK SC"/>
        <color theme="1"/>
        <sz val="11.0"/>
      </rPr>
      <t>翻訳・要約フル活用で初期立ち上げ。</t>
    </r>
  </si>
  <si>
    <r>
      <rPr>
        <rFont val="Noto Sans CJK SC"/>
        <color theme="1"/>
        <sz val="11.0"/>
      </rPr>
      <t>約</t>
    </r>
    <r>
      <rPr>
        <rFont val="Arial"/>
        <color theme="1"/>
        <sz val="11.0"/>
      </rPr>
      <t>7-8</t>
    </r>
    <r>
      <rPr>
        <rFont val="Noto Sans CJK SC"/>
        <color theme="1"/>
        <sz val="11.0"/>
      </rPr>
      <t>人日</t>
    </r>
  </si>
  <si>
    <r>
      <rPr>
        <rFont val="Arial"/>
        <b/>
        <color theme="1"/>
        <sz val="11.0"/>
      </rPr>
      <t xml:space="preserve">Phase 2: </t>
    </r>
    <r>
      <rPr>
        <rFont val="Noto Sans CJK SC"/>
        <b/>
        <color theme="1"/>
        <sz val="11.0"/>
      </rPr>
      <t>制度要件・技術手法調査</t>
    </r>
  </si>
  <si>
    <r>
      <rPr>
        <rFont val="Arial"/>
        <color theme="1"/>
        <sz val="11.0"/>
      </rPr>
      <t>2026</t>
    </r>
    <r>
      <rPr>
        <rFont val="Noto Sans CJK SC"/>
        <color theme="1"/>
        <sz val="11.0"/>
      </rPr>
      <t>年</t>
    </r>
    <r>
      <rPr>
        <rFont val="Arial"/>
        <color theme="1"/>
        <sz val="11.0"/>
      </rPr>
      <t>6</t>
    </r>
    <r>
      <rPr>
        <rFont val="Noto Sans CJK SC"/>
        <color theme="1"/>
        <sz val="11.0"/>
      </rPr>
      <t xml:space="preserve">月中旬 〜 </t>
    </r>
    <r>
      <rPr>
        <rFont val="Arial"/>
        <color theme="1"/>
        <sz val="11.0"/>
      </rPr>
      <t>8</t>
    </r>
    <r>
      <rPr>
        <rFont val="Noto Sans CJK SC"/>
        <color theme="1"/>
        <sz val="11.0"/>
      </rPr>
      <t xml:space="preserve">月上旬 </t>
    </r>
    <r>
      <rPr>
        <rFont val="Arial"/>
        <color theme="1"/>
        <sz val="11.0"/>
      </rPr>
      <t>(</t>
    </r>
    <r>
      <rPr>
        <rFont val="Noto Sans CJK SC"/>
        <color theme="1"/>
        <sz val="11.0"/>
      </rPr>
      <t>約</t>
    </r>
    <r>
      <rPr>
        <rFont val="Arial"/>
        <color theme="1"/>
        <sz val="11.0"/>
      </rPr>
      <t>7</t>
    </r>
    <r>
      <rPr>
        <rFont val="Noto Sans CJK SC"/>
        <color theme="1"/>
        <sz val="11.0"/>
      </rPr>
      <t>週</t>
    </r>
    <r>
      <rPr>
        <rFont val="Arial"/>
        <color theme="1"/>
        <sz val="11.0"/>
      </rPr>
      <t>)</t>
    </r>
  </si>
  <si>
    <r>
      <rPr>
        <rFont val="Noto Sans CJK SC"/>
        <color theme="1"/>
        <sz val="11.0"/>
      </rPr>
      <t>ブロック</t>
    </r>
    <r>
      <rPr>
        <rFont val="Arial"/>
        <color theme="1"/>
        <sz val="11.0"/>
      </rPr>
      <t>(1)</t>
    </r>
    <r>
      <rPr>
        <rFont val="Noto Sans CJK SC"/>
        <color theme="1"/>
        <sz val="11.0"/>
      </rPr>
      <t xml:space="preserve">残り </t>
    </r>
    <r>
      <rPr>
        <rFont val="Arial"/>
        <color theme="1"/>
        <sz val="11.0"/>
      </rPr>
      <t xml:space="preserve">+ </t>
    </r>
    <r>
      <rPr>
        <rFont val="Noto Sans CJK SC"/>
        <color theme="1"/>
        <sz val="11.0"/>
      </rPr>
      <t>ブロック</t>
    </r>
    <r>
      <rPr>
        <rFont val="Arial"/>
        <color theme="1"/>
        <sz val="11.0"/>
      </rPr>
      <t>(2)</t>
    </r>
    <r>
      <rPr>
        <rFont val="Noto Sans CJK SC"/>
        <color theme="1"/>
        <sz val="11.0"/>
      </rPr>
      <t>技術・手法調査。動的</t>
    </r>
    <r>
      <rPr>
        <rFont val="Arial"/>
        <color theme="1"/>
        <sz val="11.0"/>
      </rPr>
      <t>LCA</t>
    </r>
    <r>
      <rPr>
        <rFont val="Noto Sans CJK SC"/>
        <color theme="1"/>
        <sz val="11.0"/>
      </rPr>
      <t>理論、評価指標、算定方法の整理。</t>
    </r>
  </si>
  <si>
    <r>
      <rPr>
        <rFont val="Noto Sans CJK SC"/>
        <color theme="1"/>
        <sz val="11.0"/>
      </rPr>
      <t>約</t>
    </r>
    <r>
      <rPr>
        <rFont val="Arial"/>
        <color theme="1"/>
        <sz val="11.0"/>
      </rPr>
      <t>10-11</t>
    </r>
    <r>
      <rPr>
        <rFont val="Noto Sans CJK SC"/>
        <color theme="1"/>
        <sz val="11.0"/>
      </rPr>
      <t>人日</t>
    </r>
  </si>
  <si>
    <r>
      <rPr>
        <rFont val="Arial"/>
        <b/>
        <color theme="1"/>
        <sz val="11.0"/>
      </rPr>
      <t xml:space="preserve">Phase 3: </t>
    </r>
    <r>
      <rPr>
        <rFont val="Noto Sans CJK SC"/>
        <b/>
        <color theme="1"/>
        <sz val="11.0"/>
      </rPr>
      <t xml:space="preserve">情報基盤調査 </t>
    </r>
    <r>
      <rPr>
        <rFont val="Arial"/>
        <b/>
        <color theme="1"/>
        <sz val="11.0"/>
      </rPr>
      <t xml:space="preserve">+ </t>
    </r>
    <r>
      <rPr>
        <rFont val="Noto Sans CJK SC"/>
        <b/>
        <color theme="1"/>
        <sz val="11.0"/>
      </rPr>
      <t>ヒアリング準備</t>
    </r>
  </si>
  <si>
    <r>
      <rPr>
        <rFont val="Arial"/>
        <color theme="1"/>
        <sz val="11.0"/>
      </rPr>
      <t>2026</t>
    </r>
    <r>
      <rPr>
        <rFont val="Noto Sans CJK SC"/>
        <color theme="1"/>
        <sz val="11.0"/>
      </rPr>
      <t>年</t>
    </r>
    <r>
      <rPr>
        <rFont val="Arial"/>
        <color theme="1"/>
        <sz val="11.0"/>
      </rPr>
      <t>7</t>
    </r>
    <r>
      <rPr>
        <rFont val="Noto Sans CJK SC"/>
        <color theme="1"/>
        <sz val="11.0"/>
      </rPr>
      <t xml:space="preserve">月上旬 〜 </t>
    </r>
    <r>
      <rPr>
        <rFont val="Arial"/>
        <color theme="1"/>
        <sz val="11.0"/>
      </rPr>
      <t>8</t>
    </r>
    <r>
      <rPr>
        <rFont val="Noto Sans CJK SC"/>
        <color theme="1"/>
        <sz val="11.0"/>
      </rPr>
      <t xml:space="preserve">月下旬 </t>
    </r>
    <r>
      <rPr>
        <rFont val="Arial"/>
        <color theme="1"/>
        <sz val="11.0"/>
      </rPr>
      <t>(</t>
    </r>
    <r>
      <rPr>
        <rFont val="Noto Sans CJK SC"/>
        <color theme="1"/>
        <sz val="11.0"/>
      </rPr>
      <t>並行</t>
    </r>
    <r>
      <rPr>
        <rFont val="Arial"/>
        <color theme="1"/>
        <sz val="11.0"/>
      </rPr>
      <t>)</t>
    </r>
  </si>
  <si>
    <r>
      <rPr>
        <rFont val="Noto Sans CJK SC"/>
        <color theme="1"/>
        <sz val="11.0"/>
      </rPr>
      <t>ブロック</t>
    </r>
    <r>
      <rPr>
        <rFont val="Arial"/>
        <color theme="1"/>
        <sz val="11.0"/>
      </rPr>
      <t>(3)INIES</t>
    </r>
    <r>
      <rPr>
        <rFont val="Noto Sans CJK SC"/>
        <color theme="1"/>
        <sz val="11.0"/>
      </rPr>
      <t>等のデータベース分析、炭素フローモデル仕様。並行してブロック</t>
    </r>
    <r>
      <rPr>
        <rFont val="Arial"/>
        <color theme="1"/>
        <sz val="11.0"/>
      </rPr>
      <t>(4)</t>
    </r>
    <r>
      <rPr>
        <rFont val="Noto Sans CJK SC"/>
        <color theme="1"/>
        <sz val="11.0"/>
      </rPr>
      <t>ヒアリング相手選定・打診・質問票作成。</t>
    </r>
  </si>
  <si>
    <r>
      <rPr>
        <rFont val="Noto Sans CJK SC"/>
        <color theme="1"/>
        <sz val="11.0"/>
      </rPr>
      <t>約</t>
    </r>
    <r>
      <rPr>
        <rFont val="Arial"/>
        <color theme="1"/>
        <sz val="11.0"/>
      </rPr>
      <t>7-8</t>
    </r>
    <r>
      <rPr>
        <rFont val="Noto Sans CJK SC"/>
        <color theme="1"/>
        <sz val="11.0"/>
      </rPr>
      <t>人日</t>
    </r>
  </si>
  <si>
    <r>
      <rPr>
        <rFont val="Arial"/>
        <b/>
        <color theme="1"/>
        <sz val="11.0"/>
      </rPr>
      <t xml:space="preserve">Phase 4: </t>
    </r>
    <r>
      <rPr>
        <rFont val="Noto Sans CJK SC"/>
        <b/>
        <color theme="1"/>
        <sz val="11.0"/>
      </rPr>
      <t xml:space="preserve">ヒアリング実施 </t>
    </r>
    <r>
      <rPr>
        <rFont val="Arial"/>
        <b/>
        <color theme="1"/>
        <sz val="11.0"/>
      </rPr>
      <t xml:space="preserve">+ </t>
    </r>
    <r>
      <rPr>
        <rFont val="Noto Sans CJK SC"/>
        <b/>
        <color theme="1"/>
        <sz val="11.0"/>
      </rPr>
      <t>取りまとめ</t>
    </r>
  </si>
  <si>
    <r>
      <rPr>
        <rFont val="Arial"/>
        <color theme="1"/>
        <sz val="11.0"/>
      </rPr>
      <t>2026</t>
    </r>
    <r>
      <rPr>
        <rFont val="Noto Sans CJK SC"/>
        <color theme="1"/>
        <sz val="11.0"/>
      </rPr>
      <t>年</t>
    </r>
    <r>
      <rPr>
        <rFont val="Arial"/>
        <color theme="1"/>
        <sz val="11.0"/>
      </rPr>
      <t>8</t>
    </r>
    <r>
      <rPr>
        <rFont val="Noto Sans CJK SC"/>
        <color theme="1"/>
        <sz val="11.0"/>
      </rPr>
      <t xml:space="preserve">月中旬 〜 </t>
    </r>
    <r>
      <rPr>
        <rFont val="Arial"/>
        <color theme="1"/>
        <sz val="11.0"/>
      </rPr>
      <t>10</t>
    </r>
    <r>
      <rPr>
        <rFont val="Noto Sans CJK SC"/>
        <color theme="1"/>
        <sz val="11.0"/>
      </rPr>
      <t xml:space="preserve">月中旬 </t>
    </r>
    <r>
      <rPr>
        <rFont val="Arial"/>
        <color theme="1"/>
        <sz val="11.0"/>
      </rPr>
      <t>(</t>
    </r>
    <r>
      <rPr>
        <rFont val="Noto Sans CJK SC"/>
        <color theme="1"/>
        <sz val="11.0"/>
      </rPr>
      <t>約</t>
    </r>
    <r>
      <rPr>
        <rFont val="Arial"/>
        <color theme="1"/>
        <sz val="11.0"/>
      </rPr>
      <t>9</t>
    </r>
    <r>
      <rPr>
        <rFont val="Noto Sans CJK SC"/>
        <color theme="1"/>
        <sz val="11.0"/>
      </rPr>
      <t>週</t>
    </r>
    <r>
      <rPr>
        <rFont val="Arial"/>
        <color theme="1"/>
        <sz val="11.0"/>
      </rPr>
      <t>)</t>
    </r>
  </si>
  <si>
    <r>
      <rPr>
        <rFont val="Noto Sans CJK SC"/>
        <color theme="1"/>
        <sz val="11.0"/>
      </rPr>
      <t>ブロック</t>
    </r>
    <r>
      <rPr>
        <rFont val="Arial"/>
        <color theme="1"/>
        <sz val="11.0"/>
      </rPr>
      <t>(4)Web</t>
    </r>
    <r>
      <rPr>
        <rFont val="Noto Sans CJK SC"/>
        <color theme="1"/>
        <sz val="11.0"/>
      </rPr>
      <t>面談</t>
    </r>
    <r>
      <rPr>
        <rFont val="Arial"/>
        <color theme="1"/>
        <sz val="11.0"/>
      </rPr>
      <t>3</t>
    </r>
    <r>
      <rPr>
        <rFont val="Noto Sans CJK SC"/>
        <color theme="1"/>
        <sz val="11.0"/>
      </rPr>
      <t>機関</t>
    </r>
    <r>
      <rPr>
        <rFont val="Arial"/>
        <color theme="1"/>
        <sz val="11.0"/>
      </rPr>
      <t>(</t>
    </r>
    <r>
      <rPr>
        <rFont val="Noto Sans CJK SC"/>
        <color theme="1"/>
        <sz val="11.0"/>
      </rPr>
      <t>各</t>
    </r>
    <r>
      <rPr>
        <rFont val="Arial"/>
        <color theme="1"/>
        <sz val="11.0"/>
      </rPr>
      <t>1</t>
    </r>
    <r>
      <rPr>
        <rFont val="Noto Sans CJK SC"/>
        <color theme="1"/>
        <sz val="11.0"/>
      </rPr>
      <t>セッション</t>
    </r>
    <r>
      <rPr>
        <rFont val="Arial"/>
        <color theme="1"/>
        <sz val="11.0"/>
      </rPr>
      <t>)</t>
    </r>
    <r>
      <rPr>
        <rFont val="Noto Sans CJK SC"/>
        <color theme="1"/>
        <sz val="11.0"/>
      </rPr>
      <t xml:space="preserve">に集約 </t>
    </r>
    <r>
      <rPr>
        <rFont val="Arial"/>
        <color theme="1"/>
        <sz val="11.0"/>
      </rPr>
      <t xml:space="preserve">+ </t>
    </r>
    <r>
      <rPr>
        <rFont val="Noto Sans CJK SC"/>
        <color theme="1"/>
        <sz val="11.0"/>
      </rPr>
      <t>サブ項目はメール調査。並行してパワポ形式の報告書作成</t>
    </r>
    <r>
      <rPr>
        <rFont val="Arial"/>
        <color theme="1"/>
        <sz val="11.0"/>
      </rPr>
      <t>(AI</t>
    </r>
    <r>
      <rPr>
        <rFont val="Noto Sans CJK SC"/>
        <color theme="1"/>
        <sz val="11.0"/>
      </rPr>
      <t>初稿</t>
    </r>
    <r>
      <rPr>
        <rFont val="Arial"/>
        <color theme="1"/>
        <sz val="11.0"/>
      </rPr>
      <t>+</t>
    </r>
    <r>
      <rPr>
        <rFont val="Noto Sans CJK SC"/>
        <color theme="1"/>
        <sz val="11.0"/>
      </rPr>
      <t>人間編集</t>
    </r>
    <r>
      <rPr>
        <rFont val="Arial"/>
        <color theme="1"/>
        <sz val="11.0"/>
      </rPr>
      <t>)</t>
    </r>
    <r>
      <rPr>
        <rFont val="Noto Sans CJK SC"/>
        <color theme="1"/>
        <sz val="11.0"/>
      </rPr>
      <t>、最終納品物作成。</t>
    </r>
  </si>
  <si>
    <r>
      <rPr>
        <rFont val="Noto Sans CJK SC"/>
        <color theme="1"/>
        <sz val="11.0"/>
      </rPr>
      <t>約</t>
    </r>
    <r>
      <rPr>
        <rFont val="Arial"/>
        <color theme="1"/>
        <sz val="11.0"/>
      </rPr>
      <t>7-8</t>
    </r>
    <r>
      <rPr>
        <rFont val="Noto Sans CJK SC"/>
        <color theme="1"/>
        <sz val="11.0"/>
      </rPr>
      <t>人日</t>
    </r>
  </si>
  <si>
    <t>【スケジュールの前提】</t>
  </si>
  <si>
    <r>
      <rPr>
        <rFont val="Noto Sans CJK SC"/>
        <color theme="1"/>
        <sz val="10.0"/>
      </rPr>
      <t>・月別稼働量</t>
    </r>
    <r>
      <rPr>
        <rFont val="Arial"/>
        <color theme="1"/>
        <sz val="10.0"/>
      </rPr>
      <t>: 5-6</t>
    </r>
    <r>
      <rPr>
        <rFont val="Noto Sans CJK SC"/>
        <color theme="1"/>
        <sz val="10.0"/>
      </rPr>
      <t>月</t>
    </r>
    <r>
      <rPr>
        <rFont val="Arial"/>
        <color theme="1"/>
        <sz val="10.0"/>
      </rPr>
      <t>=</t>
    </r>
    <r>
      <rPr>
        <rFont val="Noto Sans CJK SC"/>
        <color theme="1"/>
        <sz val="10.0"/>
      </rPr>
      <t>週</t>
    </r>
    <r>
      <rPr>
        <rFont val="Arial"/>
        <color theme="1"/>
        <sz val="10.0"/>
      </rPr>
      <t>1.5</t>
    </r>
    <r>
      <rPr>
        <rFont val="Noto Sans CJK SC"/>
        <color theme="1"/>
        <sz val="10.0"/>
      </rPr>
      <t>日</t>
    </r>
    <r>
      <rPr>
        <rFont val="Arial"/>
        <color theme="1"/>
        <sz val="10.0"/>
      </rPr>
      <t>(9</t>
    </r>
    <r>
      <rPr>
        <rFont val="Noto Sans CJK SC"/>
        <color theme="1"/>
        <sz val="10.0"/>
      </rPr>
      <t>週</t>
    </r>
    <r>
      <rPr>
        <rFont val="Arial"/>
        <color theme="1"/>
        <sz val="10.0"/>
      </rPr>
      <t>)</t>
    </r>
    <r>
      <rPr>
        <rFont val="Noto Sans CJK SC"/>
        <color theme="1"/>
        <sz val="10.0"/>
      </rPr>
      <t>、</t>
    </r>
    <r>
      <rPr>
        <rFont val="Arial"/>
        <color theme="1"/>
        <sz val="10.0"/>
      </rPr>
      <t>7-8</t>
    </r>
    <r>
      <rPr>
        <rFont val="Noto Sans CJK SC"/>
        <color theme="1"/>
        <sz val="10.0"/>
      </rPr>
      <t>月</t>
    </r>
    <r>
      <rPr>
        <rFont val="Arial"/>
        <color theme="1"/>
        <sz val="10.0"/>
      </rPr>
      <t>=</t>
    </r>
    <r>
      <rPr>
        <rFont val="Noto Sans CJK SC"/>
        <color theme="1"/>
        <sz val="10.0"/>
      </rPr>
      <t>週</t>
    </r>
    <r>
      <rPr>
        <rFont val="Arial"/>
        <color theme="1"/>
        <sz val="10.0"/>
      </rPr>
      <t>2.25</t>
    </r>
    <r>
      <rPr>
        <rFont val="Noto Sans CJK SC"/>
        <color theme="1"/>
        <sz val="10.0"/>
      </rPr>
      <t>日</t>
    </r>
    <r>
      <rPr>
        <rFont val="Arial"/>
        <color theme="1"/>
        <sz val="10.0"/>
      </rPr>
      <t>(9</t>
    </r>
    <r>
      <rPr>
        <rFont val="Noto Sans CJK SC"/>
        <color theme="1"/>
        <sz val="10.0"/>
      </rPr>
      <t>週・授業減で増加</t>
    </r>
    <r>
      <rPr>
        <rFont val="Arial"/>
        <color theme="1"/>
        <sz val="10.0"/>
      </rPr>
      <t>)</t>
    </r>
    <r>
      <rPr>
        <rFont val="Noto Sans CJK SC"/>
        <color theme="1"/>
        <sz val="10.0"/>
      </rPr>
      <t>、</t>
    </r>
    <r>
      <rPr>
        <rFont val="Arial"/>
        <color theme="1"/>
        <sz val="10.0"/>
      </rPr>
      <t>9-10</t>
    </r>
    <r>
      <rPr>
        <rFont val="Noto Sans CJK SC"/>
        <color theme="1"/>
        <sz val="10.0"/>
      </rPr>
      <t>月中旬</t>
    </r>
    <r>
      <rPr>
        <rFont val="Arial"/>
        <color theme="1"/>
        <sz val="10.0"/>
      </rPr>
      <t>=</t>
    </r>
    <r>
      <rPr>
        <rFont val="Noto Sans CJK SC"/>
        <color theme="1"/>
        <sz val="10.0"/>
      </rPr>
      <t>週</t>
    </r>
    <r>
      <rPr>
        <rFont val="Arial"/>
        <color theme="1"/>
        <sz val="10.0"/>
      </rPr>
      <t>1.5</t>
    </r>
    <r>
      <rPr>
        <rFont val="Noto Sans CJK SC"/>
        <color theme="1"/>
        <sz val="10.0"/>
      </rPr>
      <t>日</t>
    </r>
    <r>
      <rPr>
        <rFont val="Arial"/>
        <color theme="1"/>
        <sz val="10.0"/>
      </rPr>
      <t>(6</t>
    </r>
    <r>
      <rPr>
        <rFont val="Noto Sans CJK SC"/>
        <color theme="1"/>
        <sz val="10.0"/>
      </rPr>
      <t>週</t>
    </r>
    <r>
      <rPr>
        <rFont val="Arial"/>
        <color theme="1"/>
        <sz val="10.0"/>
      </rPr>
      <t>)</t>
    </r>
  </si>
  <si>
    <r>
      <rPr>
        <rFont val="Noto Sans CJK SC"/>
        <color theme="1"/>
        <sz val="10.0"/>
      </rPr>
      <t>・稼働可能総工数</t>
    </r>
    <r>
      <rPr>
        <rFont val="Arial"/>
        <color theme="1"/>
        <sz val="10.0"/>
      </rPr>
      <t>: 13.5 + 20.25 + 9.0 = 42.75</t>
    </r>
    <r>
      <rPr>
        <rFont val="Noto Sans CJK SC"/>
        <color theme="1"/>
        <sz val="10.0"/>
      </rPr>
      <t>人日</t>
    </r>
  </si>
  <si>
    <r>
      <rPr>
        <rFont val="Noto Sans CJK SC"/>
        <color theme="1"/>
        <sz val="10.0"/>
      </rPr>
      <t>・★優先群「制度化背景・基礎ガイダンス」は</t>
    </r>
    <r>
      <rPr>
        <rFont val="Arial"/>
        <color theme="1"/>
        <sz val="10.0"/>
      </rPr>
      <t>2026</t>
    </r>
    <r>
      <rPr>
        <rFont val="Noto Sans CJK SC"/>
        <color theme="1"/>
        <sz val="10.0"/>
      </rPr>
      <t>年</t>
    </r>
    <r>
      <rPr>
        <rFont val="Arial"/>
        <color theme="1"/>
        <sz val="10.0"/>
      </rPr>
      <t>5</t>
    </r>
    <r>
      <rPr>
        <rFont val="Noto Sans CJK SC"/>
        <color theme="1"/>
        <sz val="10.0"/>
      </rPr>
      <t>月上旬着手→</t>
    </r>
    <r>
      <rPr>
        <rFont val="Arial"/>
        <color theme="1"/>
        <sz val="10.0"/>
      </rPr>
      <t>6</t>
    </r>
    <r>
      <rPr>
        <rFont val="Noto Sans CJK SC"/>
        <color theme="1"/>
        <sz val="10.0"/>
      </rPr>
      <t>月初旬完了で他項目の基盤を整える</t>
    </r>
  </si>
  <si>
    <r>
      <rPr>
        <rFont val="Noto Sans CJK SC"/>
        <color theme="1"/>
        <sz val="10.0"/>
      </rPr>
      <t>・残り項目は</t>
    </r>
    <r>
      <rPr>
        <rFont val="Arial"/>
        <color theme="1"/>
        <sz val="10.0"/>
      </rPr>
      <t>6</t>
    </r>
    <r>
      <rPr>
        <rFont val="Noto Sans CJK SC"/>
        <color theme="1"/>
        <sz val="10.0"/>
      </rPr>
      <t>月中旬から並行進行。技術・情報基盤調査は稼働増の</t>
    </r>
    <r>
      <rPr>
        <rFont val="Arial"/>
        <color theme="1"/>
        <sz val="10.0"/>
      </rPr>
      <t>7-8</t>
    </r>
    <r>
      <rPr>
        <rFont val="Noto Sans CJK SC"/>
        <color theme="1"/>
        <sz val="10.0"/>
      </rPr>
      <t>月に重点配分。</t>
    </r>
  </si>
  <si>
    <r>
      <rPr>
        <rFont val="Noto Sans CJK SC"/>
        <color theme="1"/>
        <sz val="10.0"/>
      </rPr>
      <t>・ヒアリング系は</t>
    </r>
    <r>
      <rPr>
        <rFont val="Arial"/>
        <color theme="1"/>
        <sz val="10.0"/>
      </rPr>
      <t>8</t>
    </r>
    <r>
      <rPr>
        <rFont val="Noto Sans CJK SC"/>
        <color theme="1"/>
        <sz val="10.0"/>
      </rPr>
      <t>月中旬から開始</t>
    </r>
    <r>
      <rPr>
        <rFont val="Arial"/>
        <color theme="1"/>
        <sz val="10.0"/>
      </rPr>
      <t>(</t>
    </r>
    <r>
      <rPr>
        <rFont val="Noto Sans CJK SC"/>
        <color theme="1"/>
        <sz val="10.0"/>
      </rPr>
      <t>夏季休暇後</t>
    </r>
    <r>
      <rPr>
        <rFont val="Arial"/>
        <color theme="1"/>
        <sz val="10.0"/>
      </rPr>
      <t>)</t>
    </r>
    <r>
      <rPr>
        <rFont val="Noto Sans CJK SC"/>
        <color theme="1"/>
        <sz val="10.0"/>
      </rPr>
      <t>、</t>
    </r>
    <r>
      <rPr>
        <rFont val="Arial"/>
        <color theme="1"/>
        <sz val="10.0"/>
      </rPr>
      <t>3</t>
    </r>
    <r>
      <rPr>
        <rFont val="Noto Sans CJK SC"/>
        <color theme="1"/>
        <sz val="10.0"/>
      </rPr>
      <t>機関集約</t>
    </r>
    <r>
      <rPr>
        <rFont val="Arial"/>
        <color theme="1"/>
        <sz val="10.0"/>
      </rPr>
      <t>+</t>
    </r>
    <r>
      <rPr>
        <rFont val="Noto Sans CJK SC"/>
        <color theme="1"/>
        <sz val="10.0"/>
      </rPr>
      <t>メール調査で効率化</t>
    </r>
  </si>
  <si>
    <r>
      <rPr>
        <rFont val="Noto Sans CJK SC"/>
        <color theme="1"/>
        <sz val="10.0"/>
      </rPr>
      <t>・</t>
    </r>
    <r>
      <rPr>
        <rFont val="Arial"/>
        <color theme="1"/>
        <sz val="10.0"/>
      </rPr>
      <t>AI</t>
    </r>
    <r>
      <rPr>
        <rFont val="Noto Sans CJK SC"/>
        <color theme="1"/>
        <sz val="10.0"/>
      </rPr>
      <t>活用前提のため、文献調査・概念整理・データ整理を早期に効率化</t>
    </r>
  </si>
  <si>
    <r>
      <rPr>
        <rFont val="Noto Sans CJK SC"/>
        <color theme="1"/>
        <sz val="10.0"/>
      </rPr>
      <t>・最終納品形式</t>
    </r>
    <r>
      <rPr>
        <rFont val="Arial"/>
        <color theme="1"/>
        <sz val="10.0"/>
      </rPr>
      <t xml:space="preserve">: </t>
    </r>
    <r>
      <rPr>
        <rFont val="Noto Sans CJK SC"/>
        <color theme="1"/>
        <sz val="10.0"/>
      </rPr>
      <t>パワポ</t>
    </r>
    <r>
      <rPr>
        <rFont val="Arial"/>
        <color theme="1"/>
        <sz val="10.0"/>
      </rPr>
      <t>(ppt)</t>
    </r>
    <r>
      <rPr>
        <rFont val="Noto Sans CJK SC"/>
        <color theme="1"/>
        <sz val="10.0"/>
      </rPr>
      <t xml:space="preserve">スライドデック </t>
    </r>
    <r>
      <rPr>
        <rFont val="Arial"/>
        <color theme="1"/>
        <sz val="10.0"/>
      </rPr>
      <t xml:space="preserve">+ </t>
    </r>
    <r>
      <rPr>
        <rFont val="Noto Sans CJK SC"/>
        <color theme="1"/>
        <sz val="10.0"/>
      </rPr>
      <t>関連データ整理表</t>
    </r>
  </si>
  <si>
    <r>
      <rPr>
        <rFont val="Noto Sans CJK SC"/>
        <color theme="1"/>
        <sz val="10.0"/>
      </rPr>
      <t>・最終納品</t>
    </r>
    <r>
      <rPr>
        <rFont val="Arial"/>
        <color theme="1"/>
        <sz val="10.0"/>
      </rPr>
      <t>: 2026</t>
    </r>
    <r>
      <rPr>
        <rFont val="Noto Sans CJK SC"/>
        <color theme="1"/>
        <sz val="10.0"/>
      </rPr>
      <t>年</t>
    </r>
    <r>
      <rPr>
        <rFont val="Arial"/>
        <color theme="1"/>
        <sz val="10.0"/>
      </rPr>
      <t>10</t>
    </r>
    <r>
      <rPr>
        <rFont val="Noto Sans CJK SC"/>
        <color theme="1"/>
        <sz val="10.0"/>
      </rPr>
      <t>月中旬目処</t>
    </r>
  </si>
  <si>
    <r>
      <rPr>
        <rFont val="Noto Sans CJK SC"/>
        <b/>
        <color theme="1"/>
        <sz val="14.0"/>
      </rPr>
      <t>【縮小スコープ案】重要度</t>
    </r>
    <r>
      <rPr>
        <rFont val="Arial"/>
        <b/>
        <color theme="1"/>
        <sz val="14.0"/>
      </rPr>
      <t>5</t>
    </r>
    <r>
      <rPr>
        <rFont val="Noto Sans CJK SC"/>
        <b/>
        <color theme="1"/>
        <sz val="14.0"/>
      </rPr>
      <t>項目のみに絞った場合の見積もり</t>
    </r>
  </si>
  <si>
    <r>
      <rPr>
        <rFont val="Noto Sans CJK SC"/>
        <i/>
        <color rgb="FF595959"/>
        <sz val="10.0"/>
      </rPr>
      <t>稼働制約</t>
    </r>
    <r>
      <rPr>
        <rFont val="Arial"/>
        <i/>
        <color rgb="FF595959"/>
        <sz val="10.0"/>
      </rPr>
      <t>(</t>
    </r>
    <r>
      <rPr>
        <rFont val="Noto Sans CJK SC"/>
        <i/>
        <color rgb="FF595959"/>
        <sz val="10.0"/>
      </rPr>
      <t>週</t>
    </r>
    <r>
      <rPr>
        <rFont val="Arial"/>
        <i/>
        <color rgb="FF595959"/>
        <sz val="10.0"/>
      </rPr>
      <t>1.5</t>
    </r>
    <r>
      <rPr>
        <rFont val="Noto Sans CJK SC"/>
        <i/>
        <color rgb="FF595959"/>
        <sz val="10.0"/>
      </rPr>
      <t>日</t>
    </r>
    <r>
      <rPr>
        <rFont val="Arial"/>
        <i/>
        <color rgb="FF595959"/>
        <sz val="10.0"/>
      </rPr>
      <t>×24</t>
    </r>
    <r>
      <rPr>
        <rFont val="Noto Sans CJK SC"/>
        <i/>
        <color rgb="FF595959"/>
        <sz val="10.0"/>
      </rPr>
      <t>週</t>
    </r>
    <r>
      <rPr>
        <rFont val="Arial"/>
        <i/>
        <color rgb="FF595959"/>
        <sz val="10.0"/>
      </rPr>
      <t>=36</t>
    </r>
    <r>
      <rPr>
        <rFont val="Noto Sans CJK SC"/>
        <i/>
        <color rgb="FF595959"/>
        <sz val="10.0"/>
      </rPr>
      <t>人日</t>
    </r>
    <r>
      <rPr>
        <rFont val="Arial"/>
        <i/>
        <color rgb="FF595959"/>
        <sz val="10.0"/>
      </rPr>
      <t>)</t>
    </r>
    <r>
      <rPr>
        <rFont val="Noto Sans CJK SC"/>
        <i/>
        <color rgb="FF595959"/>
        <sz val="10.0"/>
      </rPr>
      <t>・予算</t>
    </r>
    <r>
      <rPr>
        <rFont val="Arial"/>
        <i/>
        <color rgb="FF595959"/>
        <sz val="10.0"/>
      </rPr>
      <t>300</t>
    </r>
    <r>
      <rPr>
        <rFont val="Noto Sans CJK SC"/>
        <i/>
        <color rgb="FF595959"/>
        <sz val="10.0"/>
      </rPr>
      <t>万円に確実に収めるため、重要度</t>
    </r>
    <r>
      <rPr>
        <rFont val="Arial"/>
        <i/>
        <color rgb="FF595959"/>
        <sz val="10.0"/>
      </rPr>
      <t>5(</t>
    </r>
    <r>
      <rPr>
        <rFont val="Noto Sans CJK SC"/>
        <i/>
        <color rgb="FF595959"/>
        <sz val="10.0"/>
      </rPr>
      <t>最重要</t>
    </r>
    <r>
      <rPr>
        <rFont val="Arial"/>
        <i/>
        <color rgb="FF595959"/>
        <sz val="10.0"/>
      </rPr>
      <t>)</t>
    </r>
    <r>
      <rPr>
        <rFont val="Noto Sans CJK SC"/>
        <i/>
        <color rgb="FF595959"/>
        <sz val="10.0"/>
      </rPr>
      <t>項目のみに絞った場合の試算</t>
    </r>
  </si>
  <si>
    <t>大細目</t>
  </si>
  <si>
    <t>細目記号</t>
  </si>
  <si>
    <t>重要度</t>
  </si>
  <si>
    <r>
      <rPr>
        <rFont val="Arial"/>
        <b/>
        <color rgb="FFFFFFFF"/>
        <sz val="11.0"/>
      </rPr>
      <t>AI</t>
    </r>
    <r>
      <rPr>
        <rFont val="Noto Sans CJK SC"/>
        <b/>
        <color rgb="FFFFFFFF"/>
        <sz val="11.0"/>
      </rPr>
      <t>活用前
工数</t>
    </r>
    <r>
      <rPr>
        <rFont val="Arial"/>
        <b/>
        <color rgb="FFFFFFFF"/>
        <sz val="11.0"/>
      </rPr>
      <t>(</t>
    </r>
    <r>
      <rPr>
        <rFont val="Noto Sans CJK SC"/>
        <b/>
        <color rgb="FFFFFFFF"/>
        <sz val="11.0"/>
      </rPr>
      <t>人日</t>
    </r>
    <r>
      <rPr>
        <rFont val="Arial"/>
        <b/>
        <color rgb="FFFFFFFF"/>
        <sz val="11.0"/>
      </rPr>
      <t>)</t>
    </r>
  </si>
  <si>
    <r>
      <rPr>
        <rFont val="Arial"/>
        <b/>
        <color rgb="FFFFFFFF"/>
        <sz val="11.0"/>
      </rPr>
      <t>AI</t>
    </r>
    <r>
      <rPr>
        <rFont val="Noto Sans CJK SC"/>
        <b/>
        <color rgb="FFFFFFFF"/>
        <sz val="11.0"/>
      </rPr>
      <t>削減率</t>
    </r>
    <r>
      <rPr>
        <rFont val="Arial"/>
        <b/>
        <color rgb="FFFFFFFF"/>
        <sz val="11.0"/>
      </rPr>
      <t>(%)</t>
    </r>
  </si>
  <si>
    <r>
      <rPr>
        <rFont val="Arial"/>
        <b/>
        <color rgb="FFFFFFFF"/>
        <sz val="11.0"/>
      </rPr>
      <t>AI</t>
    </r>
    <r>
      <rPr>
        <rFont val="Noto Sans CJK SC"/>
        <b/>
        <color rgb="FFFFFFFF"/>
        <sz val="11.0"/>
      </rPr>
      <t>活用ツール・手法</t>
    </r>
  </si>
  <si>
    <r>
      <rPr>
        <rFont val="Arial"/>
        <b/>
        <color rgb="FFFFFFFF"/>
        <sz val="11.0"/>
      </rPr>
      <t>AI</t>
    </r>
    <r>
      <rPr>
        <rFont val="Noto Sans CJK SC"/>
        <b/>
        <color rgb="FFFFFFFF"/>
        <sz val="11.0"/>
      </rPr>
      <t>活用後
工数</t>
    </r>
    <r>
      <rPr>
        <rFont val="Arial"/>
        <b/>
        <color rgb="FFFFFFFF"/>
        <sz val="11.0"/>
      </rPr>
      <t>(</t>
    </r>
    <r>
      <rPr>
        <rFont val="Noto Sans CJK SC"/>
        <b/>
        <color rgb="FFFFFFFF"/>
        <sz val="11.0"/>
      </rPr>
      <t>人日</t>
    </r>
    <r>
      <rPr>
        <rFont val="Arial"/>
        <b/>
        <color rgb="FFFFFFFF"/>
        <sz val="11.0"/>
      </rPr>
      <t>)</t>
    </r>
  </si>
  <si>
    <r>
      <rPr>
        <rFont val="Noto Sans CJK SC"/>
        <b/>
        <color rgb="FFFFFFFF"/>
        <sz val="11.0"/>
      </rPr>
      <t xml:space="preserve">人件費単価
</t>
    </r>
    <r>
      <rPr>
        <rFont val="Arial"/>
        <b/>
        <color rgb="FFFFFFFF"/>
        <sz val="11.0"/>
      </rPr>
      <t>(</t>
    </r>
    <r>
      <rPr>
        <rFont val="Noto Sans CJK SC"/>
        <b/>
        <color rgb="FFFFFFFF"/>
        <sz val="11.0"/>
      </rPr>
      <t>円</t>
    </r>
    <r>
      <rPr>
        <rFont val="Arial"/>
        <b/>
        <color rgb="FFFFFFFF"/>
        <sz val="11.0"/>
      </rPr>
      <t>/</t>
    </r>
    <r>
      <rPr>
        <rFont val="Noto Sans CJK SC"/>
        <b/>
        <color rgb="FFFFFFFF"/>
        <sz val="11.0"/>
      </rPr>
      <t>人日</t>
    </r>
    <r>
      <rPr>
        <rFont val="Arial"/>
        <b/>
        <color rgb="FFFFFFFF"/>
        <sz val="11.0"/>
      </rPr>
      <t>)</t>
    </r>
  </si>
  <si>
    <r>
      <rPr>
        <rFont val="Noto Sans CJK SC"/>
        <b/>
        <color rgb="FFFFFFFF"/>
        <sz val="11.0"/>
      </rPr>
      <t>人件費</t>
    </r>
    <r>
      <rPr>
        <rFont val="Arial"/>
        <b/>
        <color rgb="FFFFFFFF"/>
        <sz val="11.0"/>
      </rPr>
      <t>(</t>
    </r>
    <r>
      <rPr>
        <rFont val="Noto Sans CJK SC"/>
        <b/>
        <color rgb="FFFFFFFF"/>
        <sz val="11.0"/>
      </rPr>
      <t>円</t>
    </r>
    <r>
      <rPr>
        <rFont val="Arial"/>
        <b/>
        <color rgb="FFFFFFFF"/>
        <sz val="11.0"/>
      </rPr>
      <t>)</t>
    </r>
  </si>
  <si>
    <r>
      <rPr>
        <rFont val="Noto Sans CJK SC"/>
        <b/>
        <color rgb="FFFFFFFF"/>
        <sz val="11.0"/>
      </rPr>
      <t xml:space="preserve">その他コスト
</t>
    </r>
    <r>
      <rPr>
        <rFont val="Arial"/>
        <b/>
        <color rgb="FFFFFFFF"/>
        <sz val="11.0"/>
      </rPr>
      <t>(</t>
    </r>
    <r>
      <rPr>
        <rFont val="Noto Sans CJK SC"/>
        <b/>
        <color rgb="FFFFFFFF"/>
        <sz val="11.0"/>
      </rPr>
      <t>円</t>
    </r>
    <r>
      <rPr>
        <rFont val="Arial"/>
        <b/>
        <color rgb="FFFFFFFF"/>
        <sz val="11.0"/>
      </rPr>
      <t>)</t>
    </r>
  </si>
  <si>
    <r>
      <rPr>
        <rFont val="Noto Sans CJK SC"/>
        <b/>
        <color rgb="FFFFFFFF"/>
        <sz val="11.0"/>
      </rPr>
      <t xml:space="preserve">実際にかかる費用
</t>
    </r>
    <r>
      <rPr>
        <rFont val="Arial"/>
        <b/>
        <color rgb="FFFFFFFF"/>
        <sz val="11.0"/>
      </rPr>
      <t>(</t>
    </r>
    <r>
      <rPr>
        <rFont val="Noto Sans CJK SC"/>
        <b/>
        <color rgb="FFFFFFFF"/>
        <sz val="11.0"/>
      </rPr>
      <t>円</t>
    </r>
    <r>
      <rPr>
        <rFont val="Arial"/>
        <b/>
        <color rgb="FFFFFFFF"/>
        <sz val="11.0"/>
      </rPr>
      <t>)</t>
    </r>
  </si>
  <si>
    <t>備考</t>
  </si>
  <si>
    <r>
      <rPr>
        <rFont val="Arial"/>
        <b/>
        <color theme="1"/>
        <sz val="11.0"/>
      </rPr>
      <t xml:space="preserve">(1) </t>
    </r>
    <r>
      <rPr>
        <rFont val="Noto Sans CJK SC"/>
        <b/>
        <color theme="1"/>
        <sz val="11.0"/>
      </rPr>
      <t>政策及び制度調査</t>
    </r>
  </si>
  <si>
    <t>建築環境性能評価制度の全体構造</t>
  </si>
  <si>
    <r>
      <rPr>
        <rFont val="Arial"/>
        <color theme="1"/>
        <sz val="9.0"/>
      </rPr>
      <t>RE2020</t>
    </r>
    <r>
      <rPr>
        <rFont val="Noto Sans CJK SC"/>
        <color theme="1"/>
        <sz val="9.0"/>
      </rPr>
      <t>における建築物</t>
    </r>
    <r>
      <rPr>
        <rFont val="Arial"/>
        <color theme="1"/>
        <sz val="9.0"/>
      </rPr>
      <t>LCA</t>
    </r>
    <r>
      <rPr>
        <rFont val="Noto Sans CJK SC"/>
        <color theme="1"/>
        <sz val="9.0"/>
      </rPr>
      <t>の位置付け</t>
    </r>
  </si>
  <si>
    <r>
      <rPr>
        <rFont val="Arial"/>
        <color theme="1"/>
        <sz val="9.0"/>
      </rPr>
      <t>Claude/ChatGPT</t>
    </r>
    <r>
      <rPr>
        <rFont val="Noto Sans CJK SC"/>
        <color theme="1"/>
        <sz val="9.0"/>
      </rPr>
      <t>でフランス語文献の翻訳・要約・論点抽出を一次処理、</t>
    </r>
    <r>
      <rPr>
        <rFont val="Arial"/>
        <color theme="1"/>
        <sz val="9.0"/>
      </rPr>
      <t>DeepL</t>
    </r>
    <r>
      <rPr>
        <rFont val="Noto Sans CJK SC"/>
        <color theme="1"/>
        <sz val="9.0"/>
      </rPr>
      <t>で補助翻訳、人間が検証</t>
    </r>
  </si>
  <si>
    <r>
      <rPr>
        <rFont val="Noto Sans CJK SC"/>
        <i/>
        <color rgb="FF595959"/>
        <sz val="9.0"/>
      </rPr>
      <t>★優先群</t>
    </r>
    <r>
      <rPr>
        <rFont val="Arial"/>
        <i/>
        <color rgb="FF595959"/>
        <sz val="9.0"/>
      </rPr>
      <t>(5</t>
    </r>
    <r>
      <rPr>
        <rFont val="Noto Sans CJK SC"/>
        <i/>
        <color rgb="FF595959"/>
        <sz val="9.0"/>
      </rPr>
      <t>月</t>
    </r>
    <r>
      <rPr>
        <rFont val="Arial"/>
        <i/>
        <color rgb="FF595959"/>
        <sz val="9.0"/>
      </rPr>
      <t>-6</t>
    </r>
    <r>
      <rPr>
        <rFont val="Noto Sans CJK SC"/>
        <i/>
        <color rgb="FF595959"/>
        <sz val="9.0"/>
      </rPr>
      <t>月初旬</t>
    </r>
    <r>
      <rPr>
        <rFont val="Arial"/>
        <i/>
        <color rgb="FF595959"/>
        <sz val="9.0"/>
      </rPr>
      <t>)</t>
    </r>
  </si>
  <si>
    <r>
      <rPr>
        <rFont val="Arial"/>
        <b/>
        <color theme="1"/>
        <sz val="11.0"/>
      </rPr>
      <t xml:space="preserve">(1) </t>
    </r>
    <r>
      <rPr>
        <rFont val="Noto Sans CJK SC"/>
        <b/>
        <color theme="1"/>
        <sz val="11.0"/>
      </rPr>
      <t>政策及び制度調査</t>
    </r>
  </si>
  <si>
    <r>
      <rPr>
        <rFont val="Arial"/>
        <color theme="1"/>
        <sz val="9.0"/>
      </rPr>
      <t>Claude/ChatGPT</t>
    </r>
    <r>
      <rPr>
        <rFont val="Noto Sans CJK SC"/>
        <color theme="1"/>
        <sz val="9.0"/>
      </rPr>
      <t>でフランス語文献の翻訳・要約・論点抽出を一次処理、</t>
    </r>
    <r>
      <rPr>
        <rFont val="Arial"/>
        <color theme="1"/>
        <sz val="9.0"/>
      </rPr>
      <t>DeepL</t>
    </r>
    <r>
      <rPr>
        <rFont val="Noto Sans CJK SC"/>
        <color theme="1"/>
        <sz val="9.0"/>
      </rPr>
      <t>で補助翻訳、人間が検証</t>
    </r>
  </si>
  <si>
    <r>
      <rPr>
        <rFont val="Noto Sans CJK SC"/>
        <i/>
        <color rgb="FF595959"/>
        <sz val="9.0"/>
      </rPr>
      <t>★優先群</t>
    </r>
    <r>
      <rPr>
        <rFont val="Arial"/>
        <i/>
        <color rgb="FF595959"/>
        <sz val="9.0"/>
      </rPr>
      <t>(5</t>
    </r>
    <r>
      <rPr>
        <rFont val="Noto Sans CJK SC"/>
        <i/>
        <color rgb="FF595959"/>
        <sz val="9.0"/>
      </rPr>
      <t>月</t>
    </r>
    <r>
      <rPr>
        <rFont val="Arial"/>
        <i/>
        <color rgb="FF595959"/>
        <sz val="9.0"/>
      </rPr>
      <t>-6</t>
    </r>
    <r>
      <rPr>
        <rFont val="Noto Sans CJK SC"/>
        <i/>
        <color rgb="FF595959"/>
        <sz val="9.0"/>
      </rPr>
      <t>月初旬</t>
    </r>
    <r>
      <rPr>
        <rFont val="Arial"/>
        <i/>
        <color rgb="FF595959"/>
        <sz val="9.0"/>
      </rPr>
      <t>)</t>
    </r>
  </si>
  <si>
    <r>
      <rPr>
        <rFont val="Arial"/>
        <b/>
        <color theme="1"/>
        <sz val="11.0"/>
      </rPr>
      <t xml:space="preserve">(1) </t>
    </r>
    <r>
      <rPr>
        <rFont val="Noto Sans CJK SC"/>
        <b/>
        <color theme="1"/>
        <sz val="11.0"/>
      </rPr>
      <t>政策及び制度調査</t>
    </r>
  </si>
  <si>
    <r>
      <rPr>
        <rFont val="Noto Sans CJK SC"/>
        <color theme="1"/>
        <sz val="9.0"/>
      </rPr>
      <t>ダイナミック</t>
    </r>
    <r>
      <rPr>
        <rFont val="Arial"/>
        <color theme="1"/>
        <sz val="9.0"/>
      </rPr>
      <t>LCA</t>
    </r>
    <r>
      <rPr>
        <rFont val="Noto Sans CJK SC"/>
        <color theme="1"/>
        <sz val="9.0"/>
      </rPr>
      <t>の要件整理</t>
    </r>
  </si>
  <si>
    <r>
      <rPr>
        <rFont val="Arial"/>
        <color theme="1"/>
        <sz val="9.0"/>
      </rPr>
      <t>AI</t>
    </r>
    <r>
      <rPr>
        <rFont val="Noto Sans CJK SC"/>
        <color theme="1"/>
        <sz val="9.0"/>
      </rPr>
      <t>で文献翻訳・要件抽出を自動化</t>
    </r>
  </si>
  <si>
    <r>
      <rPr>
        <rFont val="Arial"/>
        <b/>
        <color theme="1"/>
        <sz val="11.0"/>
      </rPr>
      <t xml:space="preserve">(1) </t>
    </r>
    <r>
      <rPr>
        <rFont val="Noto Sans CJK SC"/>
        <b/>
        <color theme="1"/>
        <sz val="11.0"/>
      </rPr>
      <t>政策及び制度調査</t>
    </r>
  </si>
  <si>
    <r>
      <rPr>
        <rFont val="Noto Sans CJK SC"/>
        <color theme="1"/>
        <sz val="9.0"/>
      </rPr>
      <t>ダイナミック</t>
    </r>
    <r>
      <rPr>
        <rFont val="Arial"/>
        <color theme="1"/>
        <sz val="9.0"/>
      </rPr>
      <t>LCA</t>
    </r>
    <r>
      <rPr>
        <rFont val="Noto Sans CJK SC"/>
        <color theme="1"/>
        <sz val="9.0"/>
      </rPr>
      <t>の要件整理</t>
    </r>
  </si>
  <si>
    <r>
      <rPr>
        <rFont val="Arial"/>
        <color theme="1"/>
        <sz val="9.0"/>
      </rPr>
      <t>AI</t>
    </r>
    <r>
      <rPr>
        <rFont val="Noto Sans CJK SC"/>
        <color theme="1"/>
        <sz val="9.0"/>
      </rPr>
      <t>で根拠資料の翻訳・要約、人間が解釈精査</t>
    </r>
  </si>
  <si>
    <r>
      <rPr>
        <rFont val="Arial"/>
        <b/>
        <color theme="1"/>
        <sz val="11.0"/>
      </rPr>
      <t xml:space="preserve">(1) </t>
    </r>
    <r>
      <rPr>
        <rFont val="Noto Sans CJK SC"/>
        <b/>
        <color theme="1"/>
        <sz val="11.0"/>
      </rPr>
      <t>政策及び制度調査</t>
    </r>
  </si>
  <si>
    <r>
      <rPr>
        <rFont val="Arial"/>
        <color theme="1"/>
        <sz val="9.0"/>
      </rPr>
      <t>AI</t>
    </r>
    <r>
      <rPr>
        <rFont val="Noto Sans CJK SC"/>
        <color theme="1"/>
        <sz val="9.0"/>
      </rPr>
      <t>で算定式・計算例の翻訳整理、人間が精査</t>
    </r>
  </si>
  <si>
    <r>
      <rPr>
        <rFont val="Arial"/>
        <b/>
        <color theme="1"/>
        <sz val="11.0"/>
      </rPr>
      <t xml:space="preserve">(1) </t>
    </r>
    <r>
      <rPr>
        <rFont val="Noto Sans CJK SC"/>
        <b/>
        <color theme="1"/>
        <sz val="11.0"/>
      </rPr>
      <t>政策及び制度調査</t>
    </r>
  </si>
  <si>
    <r>
      <rPr>
        <rFont val="Arial"/>
        <color theme="1"/>
        <sz val="9.0"/>
      </rPr>
      <t>AI</t>
    </r>
    <r>
      <rPr>
        <rFont val="Noto Sans CJK SC"/>
        <color theme="1"/>
        <sz val="9.0"/>
      </rPr>
      <t>で根拠資料の翻訳・要点抽出</t>
    </r>
  </si>
  <si>
    <r>
      <rPr>
        <rFont val="Arial"/>
        <b/>
        <color theme="1"/>
        <sz val="11.0"/>
      </rPr>
      <t xml:space="preserve">(2) </t>
    </r>
    <r>
      <rPr>
        <rFont val="Noto Sans CJK SC"/>
        <b/>
        <color theme="1"/>
        <sz val="11.0"/>
      </rPr>
      <t>技術及び手法の調査</t>
    </r>
  </si>
  <si>
    <r>
      <rPr>
        <rFont val="Noto Sans CJK SC"/>
        <color theme="1"/>
        <sz val="9.0"/>
      </rPr>
      <t>ダイナミック</t>
    </r>
    <r>
      <rPr>
        <rFont val="Arial"/>
        <color theme="1"/>
        <sz val="9.0"/>
      </rPr>
      <t>LCA</t>
    </r>
    <r>
      <rPr>
        <rFont val="Noto Sans CJK SC"/>
        <color theme="1"/>
        <sz val="9.0"/>
      </rPr>
      <t>の理論的枠組み</t>
    </r>
  </si>
  <si>
    <r>
      <rPr>
        <rFont val="Noto Sans CJK SC"/>
        <color theme="1"/>
        <sz val="9.0"/>
      </rPr>
      <t>動的</t>
    </r>
    <r>
      <rPr>
        <rFont val="Arial"/>
        <color theme="1"/>
        <sz val="9.0"/>
      </rPr>
      <t>LCA</t>
    </r>
    <r>
      <rPr>
        <rFont val="Noto Sans CJK SC"/>
        <color theme="1"/>
        <sz val="9.0"/>
      </rPr>
      <t>（時間軸評価）導入の基本概念</t>
    </r>
  </si>
  <si>
    <r>
      <rPr>
        <rFont val="Arial"/>
        <color theme="1"/>
        <sz val="9.0"/>
      </rPr>
      <t>AI</t>
    </r>
    <r>
      <rPr>
        <rFont val="Noto Sans CJK SC"/>
        <color theme="1"/>
        <sz val="9.0"/>
      </rPr>
      <t>で概念整理・比較表の初稿生成、人間が専門的精査・修正</t>
    </r>
  </si>
  <si>
    <r>
      <rPr>
        <rFont val="Arial"/>
        <b/>
        <color theme="1"/>
        <sz val="11.0"/>
      </rPr>
      <t xml:space="preserve">(2) </t>
    </r>
    <r>
      <rPr>
        <rFont val="Noto Sans CJK SC"/>
        <b/>
        <color theme="1"/>
        <sz val="11.0"/>
      </rPr>
      <t>技術及び手法の調査</t>
    </r>
  </si>
  <si>
    <r>
      <rPr>
        <rFont val="Noto Sans CJK SC"/>
        <color theme="1"/>
        <sz val="9.0"/>
      </rPr>
      <t>ダイナミック</t>
    </r>
    <r>
      <rPr>
        <rFont val="Arial"/>
        <color theme="1"/>
        <sz val="9.0"/>
      </rPr>
      <t>LCA</t>
    </r>
    <r>
      <rPr>
        <rFont val="Noto Sans CJK SC"/>
        <color theme="1"/>
        <sz val="9.0"/>
      </rPr>
      <t>の理論的枠組み</t>
    </r>
  </si>
  <si>
    <r>
      <rPr>
        <rFont val="Arial"/>
        <color theme="1"/>
        <sz val="9.0"/>
      </rPr>
      <t>AI</t>
    </r>
    <r>
      <rPr>
        <rFont val="Noto Sans CJK SC"/>
        <color theme="1"/>
        <sz val="9.0"/>
      </rPr>
      <t>で概念整理・比較表の初稿生成、人間が専門的精査・修正</t>
    </r>
  </si>
  <si>
    <r>
      <rPr>
        <rFont val="Arial"/>
        <b/>
        <color theme="1"/>
        <sz val="11.0"/>
      </rPr>
      <t xml:space="preserve">(2) </t>
    </r>
    <r>
      <rPr>
        <rFont val="Noto Sans CJK SC"/>
        <b/>
        <color theme="1"/>
        <sz val="11.0"/>
      </rPr>
      <t>技術及び手法の調査</t>
    </r>
  </si>
  <si>
    <r>
      <rPr>
        <rFont val="Noto Sans CJK SC"/>
        <color theme="1"/>
        <sz val="9.0"/>
      </rPr>
      <t>ダイナミック</t>
    </r>
    <r>
      <rPr>
        <rFont val="Arial"/>
        <color theme="1"/>
        <sz val="9.0"/>
      </rPr>
      <t>LCA</t>
    </r>
    <r>
      <rPr>
        <rFont val="Noto Sans CJK SC"/>
        <color theme="1"/>
        <sz val="9.0"/>
      </rPr>
      <t>の理論的枠組み</t>
    </r>
  </si>
  <si>
    <r>
      <rPr>
        <rFont val="Noto Sans CJK SC"/>
        <color theme="1"/>
        <sz val="9.0"/>
      </rPr>
      <t>従来型静的</t>
    </r>
    <r>
      <rPr>
        <rFont val="Arial"/>
        <color theme="1"/>
        <sz val="9.0"/>
      </rPr>
      <t>LCA</t>
    </r>
    <r>
      <rPr>
        <rFont val="Noto Sans CJK SC"/>
        <color theme="1"/>
        <sz val="9.0"/>
      </rPr>
      <t>（</t>
    </r>
    <r>
      <rPr>
        <rFont val="Arial"/>
        <color theme="1"/>
        <sz val="9.0"/>
      </rPr>
      <t>GWP100</t>
    </r>
    <r>
      <rPr>
        <rFont val="Noto Sans CJK SC"/>
        <color theme="1"/>
        <sz val="9.0"/>
      </rPr>
      <t>）との差異</t>
    </r>
  </si>
  <si>
    <r>
      <rPr>
        <rFont val="Arial"/>
        <color theme="1"/>
        <sz val="9.0"/>
      </rPr>
      <t>AI</t>
    </r>
    <r>
      <rPr>
        <rFont val="Noto Sans CJK SC"/>
        <color theme="1"/>
        <sz val="9.0"/>
      </rPr>
      <t>で概念整理・比較表の初稿生成、人間が専門的精査・修正</t>
    </r>
  </si>
  <si>
    <r>
      <rPr>
        <rFont val="Noto Sans CJK SC"/>
        <i/>
        <color rgb="FF595959"/>
        <sz val="9.0"/>
      </rPr>
      <t>比較表を</t>
    </r>
    <r>
      <rPr>
        <rFont val="Arial"/>
        <i/>
        <color rgb="FF595959"/>
        <sz val="9.0"/>
      </rPr>
      <t>AI</t>
    </r>
    <r>
      <rPr>
        <rFont val="Noto Sans CJK SC"/>
        <i/>
        <color rgb="FF595959"/>
        <sz val="9.0"/>
      </rPr>
      <t>で初稿生成</t>
    </r>
  </si>
  <si>
    <r>
      <rPr>
        <rFont val="Arial"/>
        <b/>
        <color theme="1"/>
        <sz val="11.0"/>
      </rPr>
      <t xml:space="preserve">(2) </t>
    </r>
    <r>
      <rPr>
        <rFont val="Noto Sans CJK SC"/>
        <b/>
        <color theme="1"/>
        <sz val="11.0"/>
      </rPr>
      <t>技術及び手法の調査</t>
    </r>
  </si>
  <si>
    <r>
      <rPr>
        <rFont val="Arial"/>
        <color theme="1"/>
        <sz val="9.0"/>
      </rPr>
      <t>AI</t>
    </r>
    <r>
      <rPr>
        <rFont val="Noto Sans CJK SC"/>
        <color theme="1"/>
        <sz val="9.0"/>
      </rPr>
      <t>で概念整理・比較表の初稿生成、人間が専門的精査・修正</t>
    </r>
  </si>
  <si>
    <r>
      <rPr>
        <rFont val="Arial"/>
        <b/>
        <color theme="1"/>
        <sz val="11.0"/>
      </rPr>
      <t xml:space="preserve">(2) </t>
    </r>
    <r>
      <rPr>
        <rFont val="Noto Sans CJK SC"/>
        <b/>
        <color theme="1"/>
        <sz val="11.0"/>
      </rPr>
      <t>技術及び手法の調査</t>
    </r>
  </si>
  <si>
    <r>
      <rPr>
        <rFont val="Arial"/>
        <color theme="1"/>
        <sz val="9.0"/>
      </rPr>
      <t>AI</t>
    </r>
    <r>
      <rPr>
        <rFont val="Noto Sans CJK SC"/>
        <color theme="1"/>
        <sz val="9.0"/>
      </rPr>
      <t>で概念整理・比較表の初稿生成、人間が専門的精査・修正</t>
    </r>
  </si>
  <si>
    <r>
      <rPr>
        <rFont val="Arial"/>
        <b/>
        <color theme="1"/>
        <sz val="11.0"/>
      </rPr>
      <t xml:space="preserve">(3) </t>
    </r>
    <r>
      <rPr>
        <rFont val="Noto Sans CJK SC"/>
        <b/>
        <color theme="1"/>
        <sz val="11.0"/>
      </rPr>
      <t>制度を支える情報基盤の構造把握</t>
    </r>
  </si>
  <si>
    <r>
      <rPr>
        <rFont val="Noto Sans CJK SC"/>
        <color theme="1"/>
        <sz val="9.0"/>
      </rPr>
      <t>建材の</t>
    </r>
    <r>
      <rPr>
        <rFont val="Arial"/>
        <color theme="1"/>
        <sz val="9.0"/>
      </rPr>
      <t>CO₂</t>
    </r>
    <r>
      <rPr>
        <rFont val="Noto Sans CJK SC"/>
        <color theme="1"/>
        <sz val="9.0"/>
      </rPr>
      <t>等排出量原単位データベースの構造分析</t>
    </r>
  </si>
  <si>
    <r>
      <rPr>
        <rFont val="Arial"/>
        <color theme="1"/>
        <sz val="9.0"/>
      </rPr>
      <t>INIES</t>
    </r>
    <r>
      <rPr>
        <rFont val="Noto Sans CJK SC"/>
        <color theme="1"/>
        <sz val="9.0"/>
      </rPr>
      <t>におけるデータ格納状況</t>
    </r>
  </si>
  <si>
    <r>
      <rPr>
        <rFont val="Arial"/>
        <color theme="1"/>
        <sz val="9.0"/>
      </rPr>
      <t>AI</t>
    </r>
    <r>
      <rPr>
        <rFont val="Noto Sans CJK SC"/>
        <color theme="1"/>
        <sz val="9.0"/>
      </rPr>
      <t>で</t>
    </r>
    <r>
      <rPr>
        <rFont val="Arial"/>
        <color theme="1"/>
        <sz val="9.0"/>
      </rPr>
      <t>DB</t>
    </r>
    <r>
      <rPr>
        <rFont val="Noto Sans CJK SC"/>
        <color theme="1"/>
        <sz val="9.0"/>
      </rPr>
      <t>スキーマ・データ構造を自動分析</t>
    </r>
  </si>
  <si>
    <r>
      <rPr>
        <rFont val="Arial"/>
        <i/>
        <color rgb="FF595959"/>
        <sz val="9.0"/>
      </rPr>
      <t>DB</t>
    </r>
    <r>
      <rPr>
        <rFont val="Noto Sans CJK SC"/>
        <i/>
        <color rgb="FF595959"/>
        <sz val="9.0"/>
      </rPr>
      <t>スキーマ分析は</t>
    </r>
    <r>
      <rPr>
        <rFont val="Arial"/>
        <i/>
        <color rgb="FF595959"/>
        <sz val="9.0"/>
      </rPr>
      <t>AI</t>
    </r>
    <r>
      <rPr>
        <rFont val="Noto Sans CJK SC"/>
        <i/>
        <color rgb="FF595959"/>
        <sz val="9.0"/>
      </rPr>
      <t>が特に得意</t>
    </r>
  </si>
  <si>
    <r>
      <rPr>
        <rFont val="Arial"/>
        <b/>
        <color theme="1"/>
        <sz val="11.0"/>
      </rPr>
      <t xml:space="preserve">(3) </t>
    </r>
    <r>
      <rPr>
        <rFont val="Noto Sans CJK SC"/>
        <b/>
        <color theme="1"/>
        <sz val="11.0"/>
      </rPr>
      <t>制度を支える情報基盤の構造把握</t>
    </r>
  </si>
  <si>
    <r>
      <rPr>
        <rFont val="Noto Sans CJK SC"/>
        <color theme="1"/>
        <sz val="9.0"/>
      </rPr>
      <t>建材の</t>
    </r>
    <r>
      <rPr>
        <rFont val="Arial"/>
        <color theme="1"/>
        <sz val="9.0"/>
      </rPr>
      <t>CO₂</t>
    </r>
    <r>
      <rPr>
        <rFont val="Noto Sans CJK SC"/>
        <color theme="1"/>
        <sz val="9.0"/>
      </rPr>
      <t>等排出量原単位データベースの構造分析</t>
    </r>
  </si>
  <si>
    <r>
      <rPr>
        <rFont val="Arial"/>
        <color theme="1"/>
        <sz val="9.0"/>
      </rPr>
      <t>AI</t>
    </r>
    <r>
      <rPr>
        <rFont val="Noto Sans CJK SC"/>
        <color theme="1"/>
        <sz val="9.0"/>
      </rPr>
      <t>でパラメータ仕様の翻訳・整理を自動化</t>
    </r>
  </si>
  <si>
    <r>
      <rPr>
        <rFont val="Arial"/>
        <b/>
        <color theme="1"/>
        <sz val="11.0"/>
      </rPr>
      <t xml:space="preserve">(3) </t>
    </r>
    <r>
      <rPr>
        <rFont val="Noto Sans CJK SC"/>
        <b/>
        <color theme="1"/>
        <sz val="11.0"/>
      </rPr>
      <t>制度を支える情報基盤の構造把握</t>
    </r>
  </si>
  <si>
    <r>
      <rPr>
        <rFont val="Arial"/>
        <color theme="1"/>
        <sz val="9.0"/>
      </rPr>
      <t>AI</t>
    </r>
    <r>
      <rPr>
        <rFont val="Noto Sans CJK SC"/>
        <color theme="1"/>
        <sz val="9.0"/>
      </rPr>
      <t>で概念整理・比較表の初稿生成、人間が専門的精査・修正</t>
    </r>
  </si>
  <si>
    <r>
      <rPr>
        <rFont val="Arial"/>
        <b/>
        <color theme="1"/>
        <sz val="11.0"/>
      </rPr>
      <t xml:space="preserve">(3) </t>
    </r>
    <r>
      <rPr>
        <rFont val="Noto Sans CJK SC"/>
        <b/>
        <color theme="1"/>
        <sz val="11.0"/>
      </rPr>
      <t>制度を支える情報基盤の構造把握</t>
    </r>
  </si>
  <si>
    <r>
      <rPr>
        <rFont val="Arial"/>
        <color theme="1"/>
        <sz val="9.0"/>
      </rPr>
      <t>AI</t>
    </r>
    <r>
      <rPr>
        <rFont val="Noto Sans CJK SC"/>
        <color theme="1"/>
        <sz val="9.0"/>
      </rPr>
      <t>でシナリオ定義の翻訳・整理</t>
    </r>
  </si>
  <si>
    <r>
      <rPr>
        <rFont val="Arial"/>
        <b/>
        <color theme="1"/>
        <sz val="11.0"/>
      </rPr>
      <t xml:space="preserve">(4) </t>
    </r>
    <r>
      <rPr>
        <rFont val="Noto Sans CJK SC"/>
        <b/>
        <color theme="1"/>
        <sz val="11.0"/>
      </rPr>
      <t>関係機関及び専門家調査</t>
    </r>
  </si>
  <si>
    <r>
      <rPr>
        <rFont val="Noto Sans CJK SC"/>
        <color theme="1"/>
        <sz val="9.0"/>
      </rPr>
      <t>建築及び</t>
    </r>
    <r>
      <rPr>
        <rFont val="Arial"/>
        <color theme="1"/>
        <sz val="9.0"/>
      </rPr>
      <t>LCA</t>
    </r>
    <r>
      <rPr>
        <rFont val="Noto Sans CJK SC"/>
        <color theme="1"/>
        <sz val="9.0"/>
      </rPr>
      <t>関係者へのヒアリング</t>
    </r>
  </si>
  <si>
    <r>
      <rPr>
        <rFont val="Noto Sans CJK SC"/>
        <color theme="1"/>
        <sz val="9.0"/>
      </rPr>
      <t>ダイナミック</t>
    </r>
    <r>
      <rPr>
        <rFont val="Arial"/>
        <color theme="1"/>
        <sz val="9.0"/>
      </rPr>
      <t>LCA</t>
    </r>
    <r>
      <rPr>
        <rFont val="Noto Sans CJK SC"/>
        <color theme="1"/>
        <sz val="9.0"/>
      </rPr>
      <t>導入のメリット・デメリット【メイン</t>
    </r>
    <r>
      <rPr>
        <rFont val="Arial"/>
        <color theme="1"/>
        <sz val="9.0"/>
      </rPr>
      <t>:Web</t>
    </r>
    <r>
      <rPr>
        <rFont val="Noto Sans CJK SC"/>
        <color theme="1"/>
        <sz val="9.0"/>
      </rPr>
      <t>面談】</t>
    </r>
  </si>
  <si>
    <r>
      <rPr>
        <rFont val="Arial"/>
        <color theme="1"/>
        <sz val="9.0"/>
      </rPr>
      <t>AI</t>
    </r>
    <r>
      <rPr>
        <rFont val="Noto Sans CJK SC"/>
        <color theme="1"/>
        <sz val="9.0"/>
      </rPr>
      <t>は質問票作成・議事録整理・要約のみ。実施は人間</t>
    </r>
  </si>
  <si>
    <r>
      <rPr>
        <rFont val="Noto Sans CJK SC"/>
        <i/>
        <color rgb="FF595959"/>
        <sz val="9.0"/>
      </rPr>
      <t>メイン</t>
    </r>
    <r>
      <rPr>
        <rFont val="Arial"/>
        <i/>
        <color rgb="FF595959"/>
        <sz val="9.0"/>
      </rPr>
      <t>1</t>
    </r>
    <r>
      <rPr>
        <rFont val="Noto Sans CJK SC"/>
        <i/>
        <color rgb="FF595959"/>
        <sz val="9.0"/>
      </rPr>
      <t xml:space="preserve">機関 </t>
    </r>
    <r>
      <rPr>
        <rFont val="Arial"/>
        <i/>
        <color rgb="FF595959"/>
        <sz val="9.0"/>
      </rPr>
      <t>Web</t>
    </r>
    <r>
      <rPr>
        <rFont val="Noto Sans CJK SC"/>
        <i/>
        <color rgb="FF595959"/>
        <sz val="9.0"/>
      </rPr>
      <t xml:space="preserve">面談 </t>
    </r>
    <r>
      <rPr>
        <rFont val="Arial"/>
        <i/>
        <color rgb="FF595959"/>
        <sz val="9.0"/>
      </rPr>
      <t xml:space="preserve">/ </t>
    </r>
    <r>
      <rPr>
        <rFont val="Noto Sans CJK SC"/>
        <i/>
        <color rgb="FF595959"/>
        <sz val="9.0"/>
      </rPr>
      <t>通訳費</t>
    </r>
    <r>
      <rPr>
        <rFont val="Arial"/>
        <i/>
        <color rgb="FF595959"/>
        <sz val="9.0"/>
      </rPr>
      <t>20,000</t>
    </r>
    <r>
      <rPr>
        <rFont val="Noto Sans CJK SC"/>
        <i/>
        <color rgb="FF595959"/>
        <sz val="9.0"/>
      </rPr>
      <t>円</t>
    </r>
    <r>
      <rPr>
        <rFont val="Arial"/>
        <i/>
        <color rgb="FF595959"/>
        <sz val="9.0"/>
      </rPr>
      <t>+</t>
    </r>
    <r>
      <rPr>
        <rFont val="Noto Sans CJK SC"/>
        <i/>
        <color rgb="FF595959"/>
        <sz val="9.0"/>
      </rPr>
      <t>謝礼</t>
    </r>
    <r>
      <rPr>
        <rFont val="Arial"/>
        <i/>
        <color rgb="FF595959"/>
        <sz val="9.0"/>
      </rPr>
      <t>10,000</t>
    </r>
    <r>
      <rPr>
        <rFont val="Noto Sans CJK SC"/>
        <i/>
        <color rgb="FF595959"/>
        <sz val="9.0"/>
      </rPr>
      <t>円</t>
    </r>
  </si>
  <si>
    <r>
      <rPr>
        <rFont val="Arial"/>
        <b/>
        <color theme="1"/>
        <sz val="11.0"/>
      </rPr>
      <t xml:space="preserve">(4) </t>
    </r>
    <r>
      <rPr>
        <rFont val="Noto Sans CJK SC"/>
        <b/>
        <color theme="1"/>
        <sz val="11.0"/>
      </rPr>
      <t>関係機関及び専門家調査</t>
    </r>
  </si>
  <si>
    <r>
      <rPr>
        <rFont val="Arial"/>
        <color theme="1"/>
        <sz val="9.0"/>
      </rPr>
      <t>EPD</t>
    </r>
    <r>
      <rPr>
        <rFont val="Noto Sans CJK SC"/>
        <color theme="1"/>
        <sz val="9.0"/>
      </rPr>
      <t>プログラム運営機関へのヒアリング</t>
    </r>
  </si>
  <si>
    <r>
      <rPr>
        <rFont val="Arial"/>
        <color theme="1"/>
        <sz val="9.0"/>
      </rPr>
      <t>EPD</t>
    </r>
    <r>
      <rPr>
        <rFont val="Noto Sans CJK SC"/>
        <color theme="1"/>
        <sz val="9.0"/>
      </rPr>
      <t>（建材及び建築物）のダイナミック</t>
    </r>
    <r>
      <rPr>
        <rFont val="Arial"/>
        <color theme="1"/>
        <sz val="9.0"/>
      </rPr>
      <t>LCA</t>
    </r>
    <r>
      <rPr>
        <rFont val="Noto Sans CJK SC"/>
        <color theme="1"/>
        <sz val="9.0"/>
      </rPr>
      <t>対応状況【メイン</t>
    </r>
    <r>
      <rPr>
        <rFont val="Arial"/>
        <color theme="1"/>
        <sz val="9.0"/>
      </rPr>
      <t>:Web</t>
    </r>
    <r>
      <rPr>
        <rFont val="Noto Sans CJK SC"/>
        <color theme="1"/>
        <sz val="9.0"/>
      </rPr>
      <t>面談】</t>
    </r>
  </si>
  <si>
    <r>
      <rPr>
        <rFont val="Arial"/>
        <color theme="1"/>
        <sz val="9.0"/>
      </rPr>
      <t>AI</t>
    </r>
    <r>
      <rPr>
        <rFont val="Noto Sans CJK SC"/>
        <color theme="1"/>
        <sz val="9.0"/>
      </rPr>
      <t>は質問票作成・議事録整理・要約のみ。実施は人間</t>
    </r>
  </si>
  <si>
    <r>
      <rPr>
        <rFont val="Noto Sans CJK SC"/>
        <i/>
        <color rgb="FF595959"/>
        <sz val="9.0"/>
      </rPr>
      <t>メイン</t>
    </r>
    <r>
      <rPr>
        <rFont val="Arial"/>
        <i/>
        <color rgb="FF595959"/>
        <sz val="9.0"/>
      </rPr>
      <t>1</t>
    </r>
    <r>
      <rPr>
        <rFont val="Noto Sans CJK SC"/>
        <i/>
        <color rgb="FF595959"/>
        <sz val="9.0"/>
      </rPr>
      <t xml:space="preserve">機関 </t>
    </r>
    <r>
      <rPr>
        <rFont val="Arial"/>
        <i/>
        <color rgb="FF595959"/>
        <sz val="9.0"/>
      </rPr>
      <t>Web</t>
    </r>
    <r>
      <rPr>
        <rFont val="Noto Sans CJK SC"/>
        <i/>
        <color rgb="FF595959"/>
        <sz val="9.0"/>
      </rPr>
      <t xml:space="preserve">面談 </t>
    </r>
    <r>
      <rPr>
        <rFont val="Arial"/>
        <i/>
        <color rgb="FF595959"/>
        <sz val="9.0"/>
      </rPr>
      <t xml:space="preserve">/ </t>
    </r>
    <r>
      <rPr>
        <rFont val="Noto Sans CJK SC"/>
        <i/>
        <color rgb="FF595959"/>
        <sz val="9.0"/>
      </rPr>
      <t>通訳費</t>
    </r>
    <r>
      <rPr>
        <rFont val="Arial"/>
        <i/>
        <color rgb="FF595959"/>
        <sz val="9.0"/>
      </rPr>
      <t>20,000</t>
    </r>
    <r>
      <rPr>
        <rFont val="Noto Sans CJK SC"/>
        <i/>
        <color rgb="FF595959"/>
        <sz val="9.0"/>
      </rPr>
      <t>円</t>
    </r>
    <r>
      <rPr>
        <rFont val="Arial"/>
        <i/>
        <color rgb="FF595959"/>
        <sz val="9.0"/>
      </rPr>
      <t>+</t>
    </r>
    <r>
      <rPr>
        <rFont val="Noto Sans CJK SC"/>
        <i/>
        <color rgb="FF595959"/>
        <sz val="9.0"/>
      </rPr>
      <t>謝礼</t>
    </r>
    <r>
      <rPr>
        <rFont val="Arial"/>
        <i/>
        <color rgb="FF595959"/>
        <sz val="9.0"/>
      </rPr>
      <t>10,000</t>
    </r>
    <r>
      <rPr>
        <rFont val="Noto Sans CJK SC"/>
        <i/>
        <color rgb="FF595959"/>
        <sz val="9.0"/>
      </rPr>
      <t>円</t>
    </r>
  </si>
  <si>
    <r>
      <rPr>
        <rFont val="Noto Sans CJK SC"/>
        <b/>
        <color theme="1"/>
        <sz val="11.0"/>
      </rPr>
      <t xml:space="preserve">横断業務 </t>
    </r>
    <r>
      <rPr>
        <rFont val="Arial"/>
        <b/>
        <color theme="1"/>
        <sz val="11.0"/>
      </rPr>
      <t>(</t>
    </r>
    <r>
      <rPr>
        <rFont val="Noto Sans CJK SC"/>
        <b/>
        <color theme="1"/>
        <sz val="11.0"/>
      </rPr>
      <t>統合・</t>
    </r>
    <r>
      <rPr>
        <rFont val="Arial"/>
        <b/>
        <color theme="1"/>
        <sz val="11.0"/>
      </rPr>
      <t>PMO)</t>
    </r>
  </si>
  <si>
    <t>プロジェクトマネジメント・全体統合・パワポ報告書作成</t>
  </si>
  <si>
    <r>
      <rPr>
        <rFont val="Noto Sans CJK SC"/>
        <color theme="1"/>
        <sz val="9.0"/>
      </rPr>
      <t>キックオフ、定例</t>
    </r>
    <r>
      <rPr>
        <rFont val="Arial"/>
        <color theme="1"/>
        <sz val="9.0"/>
      </rPr>
      <t>MTG</t>
    </r>
    <r>
      <rPr>
        <rFont val="Noto Sans CJK SC"/>
        <color theme="1"/>
        <sz val="9.0"/>
      </rPr>
      <t>、進捗管理、パワポ報告書作成・納品</t>
    </r>
  </si>
  <si>
    <r>
      <rPr>
        <rFont val="Arial"/>
        <color theme="1"/>
        <sz val="9.0"/>
      </rPr>
      <t>AI</t>
    </r>
    <r>
      <rPr>
        <rFont val="Noto Sans CJK SC"/>
        <color theme="1"/>
        <sz val="9.0"/>
      </rPr>
      <t>でパワポ初稿生成、人間が編集確認</t>
    </r>
  </si>
  <si>
    <t>スコープ縮小に伴い圧縮。パワポ形式の納品物</t>
  </si>
  <si>
    <r>
      <rPr>
        <rFont val="Arial"/>
        <b/>
        <color theme="1"/>
        <sz val="11.0"/>
      </rPr>
      <t>AI</t>
    </r>
    <r>
      <rPr>
        <rFont val="Noto Sans CJK SC"/>
        <b/>
        <color theme="1"/>
        <sz val="11.0"/>
      </rPr>
      <t>利用ツール費用</t>
    </r>
  </si>
  <si>
    <r>
      <rPr>
        <rFont val="Arial"/>
        <color theme="1"/>
        <sz val="9.0"/>
      </rPr>
      <t>Claude Pro/ChatGPT Plus/DeepL Pro</t>
    </r>
    <r>
      <rPr>
        <rFont val="Noto Sans CJK SC"/>
        <color theme="1"/>
        <sz val="9.0"/>
      </rPr>
      <t xml:space="preserve">等 </t>
    </r>
    <r>
      <rPr>
        <rFont val="Arial"/>
        <color theme="1"/>
        <sz val="9.0"/>
      </rPr>
      <t>6</t>
    </r>
    <r>
      <rPr>
        <rFont val="Noto Sans CJK SC"/>
        <color theme="1"/>
        <sz val="9.0"/>
      </rPr>
      <t>ヶ月分</t>
    </r>
  </si>
  <si>
    <r>
      <rPr>
        <rFont val="Arial"/>
        <i/>
        <color rgb="FF595959"/>
        <sz val="9.0"/>
      </rPr>
      <t>AI/</t>
    </r>
    <r>
      <rPr>
        <rFont val="Noto Sans CJK SC"/>
        <i/>
        <color rgb="FF595959"/>
        <sz val="9.0"/>
      </rPr>
      <t xml:space="preserve">翻訳ツールサブスク </t>
    </r>
    <r>
      <rPr>
        <rFont val="Arial"/>
        <i/>
        <color rgb="FF595959"/>
        <sz val="9.0"/>
      </rPr>
      <t>6</t>
    </r>
    <r>
      <rPr>
        <rFont val="Noto Sans CJK SC"/>
        <i/>
        <color rgb="FF595959"/>
        <sz val="9.0"/>
      </rPr>
      <t>ヶ月分</t>
    </r>
  </si>
  <si>
    <t>【予算チェック】</t>
  </si>
  <si>
    <r>
      <rPr>
        <rFont val="Calibri"/>
        <color theme="1"/>
        <sz val="11.0"/>
      </rPr>
      <t>5</t>
    </r>
    <r>
      <rPr>
        <rFont val="Noto Sans CJK SC"/>
        <color theme="1"/>
        <sz val="11.0"/>
      </rPr>
      <t>月〜</t>
    </r>
    <r>
      <rPr>
        <rFont val="Calibri"/>
        <color theme="1"/>
        <sz val="11.0"/>
      </rPr>
      <t>6</t>
    </r>
    <r>
      <rPr>
        <rFont val="Noto Sans CJK SC"/>
        <color theme="1"/>
        <sz val="11.0"/>
      </rPr>
      <t xml:space="preserve">月 </t>
    </r>
    <r>
      <rPr>
        <rFont val="Calibri"/>
        <color theme="1"/>
        <sz val="11.0"/>
      </rPr>
      <t>(9</t>
    </r>
    <r>
      <rPr>
        <rFont val="Noto Sans CJK SC"/>
        <color theme="1"/>
        <sz val="11.0"/>
      </rPr>
      <t xml:space="preserve">週 </t>
    </r>
    <r>
      <rPr>
        <rFont val="Calibri"/>
        <color theme="1"/>
        <sz val="11.0"/>
      </rPr>
      <t xml:space="preserve">× </t>
    </r>
    <r>
      <rPr>
        <rFont val="Noto Sans CJK SC"/>
        <color theme="1"/>
        <sz val="11.0"/>
      </rPr>
      <t>週</t>
    </r>
    <r>
      <rPr>
        <rFont val="Calibri"/>
        <color theme="1"/>
        <sz val="11.0"/>
      </rPr>
      <t>1.5</t>
    </r>
    <r>
      <rPr>
        <rFont val="Noto Sans CJK SC"/>
        <color theme="1"/>
        <sz val="11.0"/>
      </rPr>
      <t>日</t>
    </r>
    <r>
      <rPr>
        <rFont val="Calibri"/>
        <color theme="1"/>
        <sz val="11.0"/>
      </rPr>
      <t>)</t>
    </r>
  </si>
  <si>
    <r>
      <rPr>
        <rFont val="Calibri"/>
        <color theme="1"/>
        <sz val="11.0"/>
      </rPr>
      <t>7</t>
    </r>
    <r>
      <rPr>
        <rFont val="Noto Sans CJK SC"/>
        <color theme="1"/>
        <sz val="11.0"/>
      </rPr>
      <t>月〜</t>
    </r>
    <r>
      <rPr>
        <rFont val="Calibri"/>
        <color theme="1"/>
        <sz val="11.0"/>
      </rPr>
      <t>8</t>
    </r>
    <r>
      <rPr>
        <rFont val="Noto Sans CJK SC"/>
        <color theme="1"/>
        <sz val="11.0"/>
      </rPr>
      <t xml:space="preserve">月 </t>
    </r>
    <r>
      <rPr>
        <rFont val="Calibri"/>
        <color theme="1"/>
        <sz val="11.0"/>
      </rPr>
      <t>(9</t>
    </r>
    <r>
      <rPr>
        <rFont val="Noto Sans CJK SC"/>
        <color theme="1"/>
        <sz val="11.0"/>
      </rPr>
      <t xml:space="preserve">週 </t>
    </r>
    <r>
      <rPr>
        <rFont val="Calibri"/>
        <color theme="1"/>
        <sz val="11.0"/>
      </rPr>
      <t xml:space="preserve">× </t>
    </r>
    <r>
      <rPr>
        <rFont val="Noto Sans CJK SC"/>
        <color theme="1"/>
        <sz val="11.0"/>
      </rPr>
      <t>週</t>
    </r>
    <r>
      <rPr>
        <rFont val="Calibri"/>
        <color theme="1"/>
        <sz val="11.0"/>
      </rPr>
      <t>2.25</t>
    </r>
    <r>
      <rPr>
        <rFont val="Noto Sans CJK SC"/>
        <color theme="1"/>
        <sz val="11.0"/>
      </rPr>
      <t>日 ★授業減で増加</t>
    </r>
    <r>
      <rPr>
        <rFont val="Calibri"/>
        <color theme="1"/>
        <sz val="11.0"/>
      </rPr>
      <t>)</t>
    </r>
  </si>
  <si>
    <r>
      <rPr>
        <rFont val="Calibri"/>
        <color theme="1"/>
        <sz val="11.0"/>
      </rPr>
      <t>9</t>
    </r>
    <r>
      <rPr>
        <rFont val="Noto Sans CJK SC"/>
        <color theme="1"/>
        <sz val="11.0"/>
      </rPr>
      <t>月〜</t>
    </r>
    <r>
      <rPr>
        <rFont val="Calibri"/>
        <color theme="1"/>
        <sz val="11.0"/>
      </rPr>
      <t>10</t>
    </r>
    <r>
      <rPr>
        <rFont val="Noto Sans CJK SC"/>
        <color theme="1"/>
        <sz val="11.0"/>
      </rPr>
      <t xml:space="preserve">月中旬 </t>
    </r>
    <r>
      <rPr>
        <rFont val="Calibri"/>
        <color theme="1"/>
        <sz val="11.0"/>
      </rPr>
      <t>(6</t>
    </r>
    <r>
      <rPr>
        <rFont val="Noto Sans CJK SC"/>
        <color theme="1"/>
        <sz val="11.0"/>
      </rPr>
      <t xml:space="preserve">週 </t>
    </r>
    <r>
      <rPr>
        <rFont val="Calibri"/>
        <color theme="1"/>
        <sz val="11.0"/>
      </rPr>
      <t xml:space="preserve">× </t>
    </r>
    <r>
      <rPr>
        <rFont val="Noto Sans CJK SC"/>
        <color theme="1"/>
        <sz val="11.0"/>
      </rPr>
      <t>週</t>
    </r>
    <r>
      <rPr>
        <rFont val="Calibri"/>
        <color theme="1"/>
        <sz val="11.0"/>
      </rPr>
      <t>1.5</t>
    </r>
    <r>
      <rPr>
        <rFont val="Noto Sans CJK SC"/>
        <color theme="1"/>
        <sz val="11.0"/>
      </rPr>
      <t>日</t>
    </r>
    <r>
      <rPr>
        <rFont val="Calibri"/>
        <color theme="1"/>
        <sz val="11.0"/>
      </rPr>
      <t>)</t>
    </r>
  </si>
  <si>
    <r>
      <rPr>
        <rFont val="Noto Sans CJK SC"/>
        <b/>
        <color theme="1"/>
        <sz val="11.0"/>
      </rPr>
      <t xml:space="preserve">必要工数 </t>
    </r>
    <r>
      <rPr>
        <rFont val="Arial"/>
        <b/>
        <color theme="1"/>
        <sz val="11.0"/>
      </rPr>
      <t>(AI</t>
    </r>
    <r>
      <rPr>
        <rFont val="Noto Sans CJK SC"/>
        <b/>
        <color theme="1"/>
        <sz val="11.0"/>
      </rPr>
      <t>活用後</t>
    </r>
    <r>
      <rPr>
        <rFont val="Arial"/>
        <b/>
        <color theme="1"/>
        <sz val="11.0"/>
      </rPr>
      <t>)</t>
    </r>
  </si>
  <si>
    <t>【スコープ縮小の考え方】</t>
  </si>
  <si>
    <r>
      <rPr>
        <rFont val="Noto Sans CJK SC"/>
        <b/>
        <color theme="1"/>
        <sz val="10.0"/>
      </rPr>
      <t>■ 採用基準</t>
    </r>
    <r>
      <rPr>
        <rFont val="Arial"/>
        <b/>
        <color theme="1"/>
        <sz val="10.0"/>
      </rPr>
      <t xml:space="preserve">: </t>
    </r>
    <r>
      <rPr>
        <rFont val="Noto Sans CJK SC"/>
        <b/>
        <color theme="1"/>
        <sz val="10.0"/>
      </rPr>
      <t>制度の根幹に関わる「重要度</t>
    </r>
    <r>
      <rPr>
        <rFont val="Arial"/>
        <b/>
        <color theme="1"/>
        <sz val="10.0"/>
      </rPr>
      <t>5</t>
    </r>
    <r>
      <rPr>
        <rFont val="Noto Sans CJK SC"/>
        <b/>
        <color theme="1"/>
        <sz val="10.0"/>
      </rPr>
      <t xml:space="preserve">」項目のみを対象 </t>
    </r>
    <r>
      <rPr>
        <rFont val="Arial"/>
        <b/>
        <color theme="1"/>
        <sz val="10.0"/>
      </rPr>
      <t>(</t>
    </r>
    <r>
      <rPr>
        <rFont val="Noto Sans CJK SC"/>
        <b/>
        <color theme="1"/>
        <sz val="10.0"/>
      </rPr>
      <t>全</t>
    </r>
    <r>
      <rPr>
        <rFont val="Arial"/>
        <b/>
        <color theme="1"/>
        <sz val="10.0"/>
      </rPr>
      <t>44</t>
    </r>
    <r>
      <rPr>
        <rFont val="Noto Sans CJK SC"/>
        <b/>
        <color theme="1"/>
        <sz val="10.0"/>
      </rPr>
      <t>項目→</t>
    </r>
    <r>
      <rPr>
        <rFont val="Arial"/>
        <b/>
        <color theme="1"/>
        <sz val="10.0"/>
      </rPr>
      <t>17</t>
    </r>
    <r>
      <rPr>
        <rFont val="Noto Sans CJK SC"/>
        <b/>
        <color theme="1"/>
        <sz val="10.0"/>
      </rPr>
      <t>項目</t>
    </r>
    <r>
      <rPr>
        <rFont val="Arial"/>
        <b/>
        <color theme="1"/>
        <sz val="10.0"/>
      </rPr>
      <t>)</t>
    </r>
  </si>
  <si>
    <r>
      <rPr>
        <rFont val="Noto Sans CJK SC"/>
        <b/>
        <color theme="1"/>
        <sz val="10.0"/>
      </rPr>
      <t>■ ブロック</t>
    </r>
    <r>
      <rPr>
        <rFont val="Arial"/>
        <b/>
        <color theme="1"/>
        <sz val="10.0"/>
      </rPr>
      <t xml:space="preserve">(1) </t>
    </r>
    <r>
      <rPr>
        <rFont val="Noto Sans CJK SC"/>
        <b/>
        <color theme="1"/>
        <sz val="10.0"/>
      </rPr>
      <t>政策・制度調査</t>
    </r>
    <r>
      <rPr>
        <rFont val="Arial"/>
        <b/>
        <color theme="1"/>
        <sz val="10.0"/>
      </rPr>
      <t>: 14</t>
    </r>
    <r>
      <rPr>
        <rFont val="Noto Sans CJK SC"/>
        <b/>
        <color theme="1"/>
        <sz val="10.0"/>
      </rPr>
      <t xml:space="preserve">項目中 </t>
    </r>
    <r>
      <rPr>
        <rFont val="Arial"/>
        <b/>
        <color theme="1"/>
        <sz val="10.0"/>
      </rPr>
      <t>6</t>
    </r>
    <r>
      <rPr>
        <rFont val="Noto Sans CJK SC"/>
        <b/>
        <color theme="1"/>
        <sz val="10.0"/>
      </rPr>
      <t>項目を採用</t>
    </r>
  </si>
  <si>
    <r>
      <rPr>
        <rFont val="Arial"/>
        <color theme="1"/>
        <sz val="10.0"/>
      </rPr>
      <t xml:space="preserve">   → RE2020 LCA</t>
    </r>
    <r>
      <rPr>
        <rFont val="Noto Sans CJK SC"/>
        <color theme="1"/>
        <sz val="10.0"/>
      </rPr>
      <t>位置付け、評価方法、要件整理、貯蔵量算定、評価期間根拠など制度理解の核に絞る</t>
    </r>
  </si>
  <si>
    <r>
      <rPr>
        <rFont val="Noto Sans CJK SC"/>
        <color theme="1"/>
        <sz val="10.0"/>
      </rPr>
      <t xml:space="preserve">   → 重要度</t>
    </r>
    <r>
      <rPr>
        <rFont val="Arial"/>
        <color theme="1"/>
        <sz val="10.0"/>
      </rPr>
      <t>4</t>
    </r>
    <r>
      <rPr>
        <rFont val="Noto Sans CJK SC"/>
        <color theme="1"/>
        <sz val="10.0"/>
      </rPr>
      <t>以下の制度導入背景・国家戦略・</t>
    </r>
    <r>
      <rPr>
        <rFont val="Arial"/>
        <color theme="1"/>
        <sz val="10.0"/>
      </rPr>
      <t>Level(s)</t>
    </r>
    <r>
      <rPr>
        <rFont val="Noto Sans CJK SC"/>
        <color theme="1"/>
        <sz val="10.0"/>
      </rPr>
      <t>・サーキュラーエコノミー等は除外</t>
    </r>
  </si>
  <si>
    <r>
      <rPr>
        <rFont val="Noto Sans CJK SC"/>
        <b/>
        <color theme="1"/>
        <sz val="10.0"/>
      </rPr>
      <t>■ ブロック</t>
    </r>
    <r>
      <rPr>
        <rFont val="Arial"/>
        <b/>
        <color theme="1"/>
        <sz val="10.0"/>
      </rPr>
      <t xml:space="preserve">(2) </t>
    </r>
    <r>
      <rPr>
        <rFont val="Noto Sans CJK SC"/>
        <b/>
        <color theme="1"/>
        <sz val="10.0"/>
      </rPr>
      <t>技術・手法調査</t>
    </r>
    <r>
      <rPr>
        <rFont val="Arial"/>
        <b/>
        <color theme="1"/>
        <sz val="10.0"/>
      </rPr>
      <t>: 9</t>
    </r>
    <r>
      <rPr>
        <rFont val="Noto Sans CJK SC"/>
        <b/>
        <color theme="1"/>
        <sz val="10.0"/>
      </rPr>
      <t xml:space="preserve">項目中 </t>
    </r>
    <r>
      <rPr>
        <rFont val="Arial"/>
        <b/>
        <color theme="1"/>
        <sz val="10.0"/>
      </rPr>
      <t>5</t>
    </r>
    <r>
      <rPr>
        <rFont val="Noto Sans CJK SC"/>
        <b/>
        <color theme="1"/>
        <sz val="10.0"/>
      </rPr>
      <t>項目を採用</t>
    </r>
  </si>
  <si>
    <r>
      <rPr>
        <rFont val="Noto Sans CJK SC"/>
        <color theme="1"/>
        <sz val="10.0"/>
      </rPr>
      <t xml:space="preserve">   → 動的</t>
    </r>
    <r>
      <rPr>
        <rFont val="Arial"/>
        <color theme="1"/>
        <sz val="10.0"/>
      </rPr>
      <t>LCA</t>
    </r>
    <r>
      <rPr>
        <rFont val="Noto Sans CJK SC"/>
        <color theme="1"/>
        <sz val="10.0"/>
      </rPr>
      <t>の理論的枠組み</t>
    </r>
    <r>
      <rPr>
        <rFont val="Arial"/>
        <color theme="1"/>
        <sz val="10.0"/>
      </rPr>
      <t>(</t>
    </r>
    <r>
      <rPr>
        <rFont val="Noto Sans CJK SC"/>
        <color theme="1"/>
        <sz val="10.0"/>
      </rPr>
      <t>基本概念、評価期間根拠、</t>
    </r>
    <r>
      <rPr>
        <rFont val="Arial"/>
        <color theme="1"/>
        <sz val="10.0"/>
      </rPr>
      <t>GWP100</t>
    </r>
    <r>
      <rPr>
        <rFont val="Noto Sans CJK SC"/>
        <color theme="1"/>
        <sz val="10.0"/>
      </rPr>
      <t>差異</t>
    </r>
    <r>
      <rPr>
        <rFont val="Arial"/>
        <color theme="1"/>
        <sz val="10.0"/>
      </rPr>
      <t>)</t>
    </r>
    <r>
      <rPr>
        <rFont val="Noto Sans CJK SC"/>
        <color theme="1"/>
        <sz val="10.0"/>
      </rPr>
      <t>、評価指標の算定方法を採用</t>
    </r>
  </si>
  <si>
    <t xml:space="preserve">   → 放射強制力、算定環境、表示方法等は除外</t>
  </si>
  <si>
    <r>
      <rPr>
        <rFont val="Noto Sans CJK SC"/>
        <b/>
        <color theme="1"/>
        <sz val="10.0"/>
      </rPr>
      <t>■ ブロック</t>
    </r>
    <r>
      <rPr>
        <rFont val="Arial"/>
        <b/>
        <color theme="1"/>
        <sz val="10.0"/>
      </rPr>
      <t xml:space="preserve">(3) </t>
    </r>
    <r>
      <rPr>
        <rFont val="Noto Sans CJK SC"/>
        <b/>
        <color theme="1"/>
        <sz val="10.0"/>
      </rPr>
      <t>情報基盤調査</t>
    </r>
    <r>
      <rPr>
        <rFont val="Arial"/>
        <b/>
        <color theme="1"/>
        <sz val="10.0"/>
      </rPr>
      <t>: 10</t>
    </r>
    <r>
      <rPr>
        <rFont val="Noto Sans CJK SC"/>
        <b/>
        <color theme="1"/>
        <sz val="10.0"/>
      </rPr>
      <t xml:space="preserve">項目中 </t>
    </r>
    <r>
      <rPr>
        <rFont val="Arial"/>
        <b/>
        <color theme="1"/>
        <sz val="10.0"/>
      </rPr>
      <t>4</t>
    </r>
    <r>
      <rPr>
        <rFont val="Noto Sans CJK SC"/>
        <b/>
        <color theme="1"/>
        <sz val="10.0"/>
      </rPr>
      <t>項目を採用</t>
    </r>
  </si>
  <si>
    <r>
      <rPr>
        <rFont val="Arial"/>
        <color theme="1"/>
        <sz val="10.0"/>
      </rPr>
      <t xml:space="preserve">   → INIES</t>
    </r>
    <r>
      <rPr>
        <rFont val="Noto Sans CJK SC"/>
        <color theme="1"/>
        <sz val="10.0"/>
      </rPr>
      <t>格納状況、動的パラメータ、木材炭素貯蔵評価、エンドオブライフモデル化を採用</t>
    </r>
  </si>
  <si>
    <r>
      <rPr>
        <rFont val="Noto Sans CJK SC"/>
        <color theme="1"/>
        <sz val="10.0"/>
      </rPr>
      <t xml:space="preserve">   → 静的</t>
    </r>
    <r>
      <rPr>
        <rFont val="Arial"/>
        <color theme="1"/>
        <sz val="10.0"/>
      </rPr>
      <t>LCA</t>
    </r>
    <r>
      <rPr>
        <rFont val="Noto Sans CJK SC"/>
        <color theme="1"/>
        <sz val="10.0"/>
      </rPr>
      <t>との構造差異、データ更新体制、</t>
    </r>
    <r>
      <rPr>
        <rFont val="Arial"/>
        <color theme="1"/>
        <sz val="10.0"/>
      </rPr>
      <t>A-D</t>
    </r>
    <r>
      <rPr>
        <rFont val="Noto Sans CJK SC"/>
        <color theme="1"/>
        <sz val="10.0"/>
      </rPr>
      <t>モジュール、表示方式等は除外</t>
    </r>
  </si>
  <si>
    <r>
      <rPr>
        <rFont val="Noto Sans CJK SC"/>
        <b/>
        <color theme="1"/>
        <sz val="10.0"/>
      </rPr>
      <t>■ ブロック</t>
    </r>
    <r>
      <rPr>
        <rFont val="Arial"/>
        <b/>
        <color theme="1"/>
        <sz val="10.0"/>
      </rPr>
      <t xml:space="preserve">(4) </t>
    </r>
    <r>
      <rPr>
        <rFont val="Noto Sans CJK SC"/>
        <b/>
        <color theme="1"/>
        <sz val="10.0"/>
      </rPr>
      <t>専門家ヒアリング</t>
    </r>
    <r>
      <rPr>
        <rFont val="Arial"/>
        <b/>
        <color theme="1"/>
        <sz val="10.0"/>
      </rPr>
      <t>: 11</t>
    </r>
    <r>
      <rPr>
        <rFont val="Noto Sans CJK SC"/>
        <b/>
        <color theme="1"/>
        <sz val="10.0"/>
      </rPr>
      <t xml:space="preserve">項目中 </t>
    </r>
    <r>
      <rPr>
        <rFont val="Arial"/>
        <b/>
        <color theme="1"/>
        <sz val="10.0"/>
      </rPr>
      <t>2</t>
    </r>
    <r>
      <rPr>
        <rFont val="Noto Sans CJK SC"/>
        <b/>
        <color theme="1"/>
        <sz val="10.0"/>
      </rPr>
      <t>項目を採用</t>
    </r>
  </si>
  <si>
    <r>
      <rPr>
        <rFont val="Noto Sans CJK SC"/>
        <color theme="1"/>
        <sz val="10.0"/>
      </rPr>
      <t xml:space="preserve">   → ①ア</t>
    </r>
    <r>
      <rPr>
        <rFont val="Arial"/>
        <color theme="1"/>
        <sz val="10.0"/>
      </rPr>
      <t>(LCA</t>
    </r>
    <r>
      <rPr>
        <rFont val="Noto Sans CJK SC"/>
        <color theme="1"/>
        <sz val="10.0"/>
      </rPr>
      <t>関係者</t>
    </r>
    <r>
      <rPr>
        <rFont val="Arial"/>
        <color theme="1"/>
        <sz val="10.0"/>
      </rPr>
      <t xml:space="preserve">) </t>
    </r>
    <r>
      <rPr>
        <rFont val="Noto Sans CJK SC"/>
        <color theme="1"/>
        <sz val="10.0"/>
      </rPr>
      <t>と ②ア</t>
    </r>
    <r>
      <rPr>
        <rFont val="Arial"/>
        <color theme="1"/>
        <sz val="10.0"/>
      </rPr>
      <t>(EPD</t>
    </r>
    <r>
      <rPr>
        <rFont val="Noto Sans CJK SC"/>
        <color theme="1"/>
        <sz val="10.0"/>
      </rPr>
      <t>運営機関</t>
    </r>
    <r>
      <rPr>
        <rFont val="Arial"/>
        <color theme="1"/>
        <sz val="10.0"/>
      </rPr>
      <t xml:space="preserve">) </t>
    </r>
    <r>
      <rPr>
        <rFont val="Noto Sans CJK SC"/>
        <color theme="1"/>
        <sz val="10.0"/>
      </rPr>
      <t>の重要度</t>
    </r>
    <r>
      <rPr>
        <rFont val="Arial"/>
        <color theme="1"/>
        <sz val="10.0"/>
      </rPr>
      <t>5</t>
    </r>
    <r>
      <rPr>
        <rFont val="Noto Sans CJK SC"/>
        <color theme="1"/>
        <sz val="10.0"/>
      </rPr>
      <t>メイン項目のみ</t>
    </r>
  </si>
  <si>
    <r>
      <rPr>
        <rFont val="Arial"/>
        <color theme="1"/>
        <sz val="10.0"/>
      </rPr>
      <t xml:space="preserve">   → ③(</t>
    </r>
    <r>
      <rPr>
        <rFont val="Noto Sans CJK SC"/>
        <color theme="1"/>
        <sz val="10.0"/>
      </rPr>
      <t>木材関係機関</t>
    </r>
    <r>
      <rPr>
        <rFont val="Arial"/>
        <color theme="1"/>
        <sz val="10.0"/>
      </rPr>
      <t>)</t>
    </r>
    <r>
      <rPr>
        <rFont val="Noto Sans CJK SC"/>
        <color theme="1"/>
        <sz val="10.0"/>
      </rPr>
      <t>は除外。重要度</t>
    </r>
    <r>
      <rPr>
        <rFont val="Arial"/>
        <color theme="1"/>
        <sz val="10.0"/>
      </rPr>
      <t>4</t>
    </r>
    <r>
      <rPr>
        <rFont val="Noto Sans CJK SC"/>
        <color theme="1"/>
        <sz val="10.0"/>
      </rPr>
      <t>以下のサブ項目も全て除外</t>
    </r>
  </si>
  <si>
    <r>
      <rPr>
        <rFont val="Noto Sans CJK SC"/>
        <b/>
        <color theme="1"/>
        <sz val="10.0"/>
      </rPr>
      <t>■ クライアント提案時の留意点</t>
    </r>
    <r>
      <rPr>
        <rFont val="Arial"/>
        <b/>
        <color theme="1"/>
        <sz val="10.0"/>
      </rPr>
      <t>:</t>
    </r>
  </si>
  <si>
    <r>
      <rPr>
        <rFont val="Noto Sans CJK SC"/>
        <color theme="1"/>
        <sz val="10.0"/>
      </rPr>
      <t xml:space="preserve">   ・除外項目は「補足調査」として、追加予算</t>
    </r>
    <r>
      <rPr>
        <rFont val="Arial"/>
        <color theme="1"/>
        <sz val="10.0"/>
      </rPr>
      <t>/</t>
    </r>
    <r>
      <rPr>
        <rFont val="Noto Sans CJK SC"/>
        <color theme="1"/>
        <sz val="10.0"/>
      </rPr>
      <t>期間で対応可能と提示</t>
    </r>
  </si>
  <si>
    <t xml:space="preserve">   ・本スコープでも制度の根幹的理解は確保されることを説明</t>
  </si>
  <si>
    <r>
      <rPr>
        <rFont val="Noto Sans CJK SC"/>
        <color theme="1"/>
        <sz val="10.0"/>
      </rPr>
      <t xml:space="preserve">   ・本スコープなら稼働量に約</t>
    </r>
    <r>
      <rPr>
        <rFont val="Arial"/>
        <color theme="1"/>
        <sz val="10.0"/>
      </rPr>
      <t>9</t>
    </r>
    <r>
      <rPr>
        <rFont val="Noto Sans CJK SC"/>
        <color theme="1"/>
        <sz val="10.0"/>
      </rPr>
      <t>人日の余裕あり、重要度</t>
    </r>
    <r>
      <rPr>
        <rFont val="Arial"/>
        <color theme="1"/>
        <sz val="10.0"/>
      </rPr>
      <t>4</t>
    </r>
    <r>
      <rPr>
        <rFont val="Noto Sans CJK SC"/>
        <color theme="1"/>
        <sz val="10.0"/>
      </rPr>
      <t>項目の一部追加も検討可能</t>
    </r>
  </si>
  <si>
    <r>
      <rPr>
        <rFont val="Noto Sans CJK SC"/>
        <color theme="1"/>
        <sz val="10.0"/>
      </rPr>
      <t xml:space="preserve">   ・週</t>
    </r>
    <r>
      <rPr>
        <rFont val="Arial"/>
        <color theme="1"/>
        <sz val="10.0"/>
      </rPr>
      <t>1.5</t>
    </r>
    <r>
      <rPr>
        <rFont val="Noto Sans CJK SC"/>
        <color theme="1"/>
        <sz val="10.0"/>
      </rPr>
      <t>日</t>
    </r>
    <r>
      <rPr>
        <rFont val="Arial"/>
        <color theme="1"/>
        <sz val="10.0"/>
      </rPr>
      <t>(5-6</t>
    </r>
    <r>
      <rPr>
        <rFont val="Noto Sans CJK SC"/>
        <color theme="1"/>
        <sz val="10.0"/>
      </rPr>
      <t>月</t>
    </r>
    <r>
      <rPr>
        <rFont val="Arial"/>
        <color theme="1"/>
        <sz val="10.0"/>
      </rPr>
      <t>,9-10</t>
    </r>
    <r>
      <rPr>
        <rFont val="Noto Sans CJK SC"/>
        <color theme="1"/>
        <sz val="10.0"/>
      </rPr>
      <t>月</t>
    </r>
    <r>
      <rPr>
        <rFont val="Arial"/>
        <color theme="1"/>
        <sz val="10.0"/>
      </rPr>
      <t>)/</t>
    </r>
    <r>
      <rPr>
        <rFont val="Noto Sans CJK SC"/>
        <color theme="1"/>
        <sz val="10.0"/>
      </rPr>
      <t>週</t>
    </r>
    <r>
      <rPr>
        <rFont val="Arial"/>
        <color theme="1"/>
        <sz val="10.0"/>
      </rPr>
      <t>2.25</t>
    </r>
    <r>
      <rPr>
        <rFont val="Noto Sans CJK SC"/>
        <color theme="1"/>
        <sz val="10.0"/>
      </rPr>
      <t>日</t>
    </r>
    <r>
      <rPr>
        <rFont val="Arial"/>
        <color theme="1"/>
        <sz val="10.0"/>
      </rPr>
      <t>(7-8</t>
    </r>
    <r>
      <rPr>
        <rFont val="Noto Sans CJK SC"/>
        <color theme="1"/>
        <sz val="10.0"/>
      </rPr>
      <t>月</t>
    </r>
    <r>
      <rPr>
        <rFont val="Arial"/>
        <color theme="1"/>
        <sz val="10.0"/>
      </rPr>
      <t>)</t>
    </r>
    <r>
      <rPr>
        <rFont val="Noto Sans CJK SC"/>
        <color theme="1"/>
        <sz val="10.0"/>
      </rPr>
      <t>の稼働制約が物理的な上限</t>
    </r>
  </si>
  <si>
    <r>
      <rPr>
        <rFont val="Noto Sans CJK SC"/>
        <b/>
        <color theme="1"/>
        <sz val="11.0"/>
      </rPr>
      <t xml:space="preserve">【フルスコープ </t>
    </r>
    <r>
      <rPr>
        <rFont val="Arial"/>
        <b/>
        <color theme="1"/>
        <sz val="11.0"/>
      </rPr>
      <t xml:space="preserve">vs </t>
    </r>
    <r>
      <rPr>
        <rFont val="Noto Sans CJK SC"/>
        <b/>
        <color theme="1"/>
        <sz val="11.0"/>
      </rPr>
      <t>最重要のみスコープ 比較】</t>
    </r>
  </si>
  <si>
    <t>フルスコープ</t>
  </si>
  <si>
    <t>最重要のみ</t>
  </si>
  <si>
    <t>差分</t>
  </si>
  <si>
    <r>
      <rPr>
        <rFont val="Arial"/>
        <color theme="1"/>
        <sz val="11.0"/>
      </rPr>
      <t>44</t>
    </r>
    <r>
      <rPr>
        <rFont val="Noto Sans CJK SC"/>
        <color theme="1"/>
        <sz val="11.0"/>
      </rPr>
      <t>項目</t>
    </r>
    <r>
      <rPr>
        <rFont val="Arial"/>
        <color theme="1"/>
        <sz val="11.0"/>
      </rPr>
      <t>+</t>
    </r>
    <r>
      <rPr>
        <rFont val="Noto Sans CJK SC"/>
        <color theme="1"/>
        <sz val="11.0"/>
      </rPr>
      <t>横断</t>
    </r>
  </si>
  <si>
    <r>
      <rPr>
        <rFont val="Arial"/>
        <b/>
        <color rgb="FF006100"/>
        <sz val="11.0"/>
      </rPr>
      <t>17</t>
    </r>
    <r>
      <rPr>
        <rFont val="Noto Sans CJK SC"/>
        <b/>
        <color rgb="FF006100"/>
        <sz val="11.0"/>
      </rPr>
      <t>項目</t>
    </r>
    <r>
      <rPr>
        <rFont val="Arial"/>
        <b/>
        <color rgb="FF006100"/>
        <sz val="11.0"/>
      </rPr>
      <t>+</t>
    </r>
    <r>
      <rPr>
        <rFont val="Noto Sans CJK SC"/>
        <b/>
        <color rgb="FF006100"/>
        <sz val="11.0"/>
      </rPr>
      <t>横断</t>
    </r>
  </si>
  <si>
    <r>
      <rPr>
        <rFont val="Arial"/>
        <color rgb="FFC00000"/>
        <sz val="11.0"/>
      </rPr>
      <t>▲27</t>
    </r>
    <r>
      <rPr>
        <rFont val="Noto Sans CJK SC"/>
        <color rgb="FFC00000"/>
        <sz val="11.0"/>
      </rPr>
      <t>項目</t>
    </r>
  </si>
  <si>
    <r>
      <rPr>
        <rFont val="Arial"/>
        <b/>
        <color theme="1"/>
        <sz val="11.0"/>
      </rPr>
      <t>AI</t>
    </r>
    <r>
      <rPr>
        <rFont val="Noto Sans CJK SC"/>
        <b/>
        <color theme="1"/>
        <sz val="11.0"/>
      </rPr>
      <t>前工数</t>
    </r>
    <r>
      <rPr>
        <rFont val="Arial"/>
        <b/>
        <color theme="1"/>
        <sz val="11.0"/>
      </rPr>
      <t>(</t>
    </r>
    <r>
      <rPr>
        <rFont val="Noto Sans CJK SC"/>
        <b/>
        <color theme="1"/>
        <sz val="11.0"/>
      </rPr>
      <t>人日</t>
    </r>
    <r>
      <rPr>
        <rFont val="Arial"/>
        <b/>
        <color theme="1"/>
        <sz val="11.0"/>
      </rPr>
      <t>)</t>
    </r>
  </si>
  <si>
    <t>129</t>
  </si>
  <si>
    <t>55</t>
  </si>
  <si>
    <t>▲74</t>
  </si>
  <si>
    <r>
      <rPr>
        <rFont val="Arial"/>
        <b/>
        <color theme="1"/>
        <sz val="11.0"/>
      </rPr>
      <t>AI</t>
    </r>
    <r>
      <rPr>
        <rFont val="Noto Sans CJK SC"/>
        <b/>
        <color theme="1"/>
        <sz val="11.0"/>
      </rPr>
      <t>後工数</t>
    </r>
    <r>
      <rPr>
        <rFont val="Arial"/>
        <b/>
        <color theme="1"/>
        <sz val="11.0"/>
      </rPr>
      <t>(</t>
    </r>
    <r>
      <rPr>
        <rFont val="Noto Sans CJK SC"/>
        <b/>
        <color theme="1"/>
        <sz val="11.0"/>
      </rPr>
      <t>人日</t>
    </r>
    <r>
      <rPr>
        <rFont val="Arial"/>
        <b/>
        <color theme="1"/>
        <sz val="11.0"/>
      </rPr>
      <t>)</t>
    </r>
  </si>
  <si>
    <t>61.5</t>
  </si>
  <si>
    <t>34.0</t>
  </si>
  <si>
    <t>▲27.5</t>
  </si>
  <si>
    <t>人件費合計</t>
  </si>
  <si>
    <t>¥2,600,000</t>
  </si>
  <si>
    <t>¥1,430,000</t>
  </si>
  <si>
    <t>▲¥1,170,000</t>
  </si>
  <si>
    <t>その他コスト</t>
  </si>
  <si>
    <t>¥215,000</t>
  </si>
  <si>
    <t>¥105,000</t>
  </si>
  <si>
    <t>▲¥110,000</t>
  </si>
  <si>
    <t>実費合計</t>
  </si>
  <si>
    <t>¥2,815,000</t>
  </si>
  <si>
    <t>¥1,535,000</t>
  </si>
  <si>
    <t>▲¥1,280,000</t>
  </si>
  <si>
    <r>
      <rPr>
        <rFont val="Noto Sans CJK SC"/>
        <b/>
        <color theme="1"/>
        <sz val="11.0"/>
      </rPr>
      <t>予算余裕</t>
    </r>
    <r>
      <rPr>
        <rFont val="Arial"/>
        <b/>
        <color theme="1"/>
        <sz val="11.0"/>
      </rPr>
      <t>(</t>
    </r>
    <r>
      <rPr>
        <rFont val="Noto Sans CJK SC"/>
        <b/>
        <color theme="1"/>
        <sz val="11.0"/>
      </rPr>
      <t>対</t>
    </r>
    <r>
      <rPr>
        <rFont val="Arial"/>
        <b/>
        <color theme="1"/>
        <sz val="11.0"/>
      </rPr>
      <t>300</t>
    </r>
    <r>
      <rPr>
        <rFont val="Noto Sans CJK SC"/>
        <b/>
        <color theme="1"/>
        <sz val="11.0"/>
      </rPr>
      <t>万円</t>
    </r>
    <r>
      <rPr>
        <rFont val="Arial"/>
        <b/>
        <color theme="1"/>
        <sz val="11.0"/>
      </rPr>
      <t>)</t>
    </r>
  </si>
  <si>
    <t>+¥185,000</t>
  </si>
  <si>
    <t>+¥1,465,000</t>
  </si>
  <si>
    <t>+¥1,280,000</t>
  </si>
  <si>
    <r>
      <rPr>
        <rFont val="Noto Sans CJK SC"/>
        <b/>
        <color theme="1"/>
        <sz val="11.0"/>
      </rPr>
      <t>稼働余裕</t>
    </r>
    <r>
      <rPr>
        <rFont val="Arial"/>
        <b/>
        <color theme="1"/>
        <sz val="11.0"/>
      </rPr>
      <t>(</t>
    </r>
    <r>
      <rPr>
        <rFont val="Noto Sans CJK SC"/>
        <b/>
        <color theme="1"/>
        <sz val="11.0"/>
      </rPr>
      <t>対</t>
    </r>
    <r>
      <rPr>
        <rFont val="Arial"/>
        <b/>
        <color theme="1"/>
        <sz val="11.0"/>
      </rPr>
      <t>42.75</t>
    </r>
    <r>
      <rPr>
        <rFont val="Noto Sans CJK SC"/>
        <b/>
        <color theme="1"/>
        <sz val="11.0"/>
      </rPr>
      <t>人日</t>
    </r>
    <r>
      <rPr>
        <rFont val="Arial"/>
        <b/>
        <color theme="1"/>
        <sz val="11.0"/>
      </rPr>
      <t>)</t>
    </r>
  </si>
  <si>
    <r>
      <rPr>
        <rFont val="Arial"/>
        <color theme="1"/>
        <sz val="11.0"/>
      </rPr>
      <t>▲18.75</t>
    </r>
    <r>
      <rPr>
        <rFont val="Noto Sans CJK SC"/>
        <color theme="1"/>
        <sz val="11.0"/>
      </rPr>
      <t>人日</t>
    </r>
    <r>
      <rPr>
        <rFont val="Arial"/>
        <color theme="1"/>
        <sz val="11.0"/>
      </rPr>
      <t>(</t>
    </r>
    <r>
      <rPr>
        <rFont val="Noto Sans CJK SC"/>
        <color theme="1"/>
        <sz val="11.0"/>
      </rPr>
      <t>不足</t>
    </r>
    <r>
      <rPr>
        <rFont val="Arial"/>
        <color theme="1"/>
        <sz val="11.0"/>
      </rPr>
      <t>)</t>
    </r>
  </si>
  <si>
    <r>
      <rPr>
        <rFont val="Arial"/>
        <b/>
        <color rgb="FF006100"/>
        <sz val="11.0"/>
      </rPr>
      <t>+8.75</t>
    </r>
    <r>
      <rPr>
        <rFont val="Noto Sans CJK SC"/>
        <b/>
        <color rgb="FF006100"/>
        <sz val="11.0"/>
      </rPr>
      <t>人日</t>
    </r>
    <r>
      <rPr>
        <rFont val="Arial"/>
        <b/>
        <color rgb="FF006100"/>
        <sz val="11.0"/>
      </rPr>
      <t>(</t>
    </r>
    <r>
      <rPr>
        <rFont val="Noto Sans CJK SC"/>
        <b/>
        <color rgb="FF006100"/>
        <sz val="11.0"/>
      </rPr>
      <t>余裕</t>
    </r>
    <r>
      <rPr>
        <rFont val="Arial"/>
        <b/>
        <color rgb="FF006100"/>
        <sz val="11.0"/>
      </rPr>
      <t>)</t>
    </r>
  </si>
  <si>
    <t>解消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</si>
</sst>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0\%"/>
    <numFmt numFmtId="165" formatCode="\¥#,##0"/>
    <numFmt numFmtId="166" formatCode="\¥#,##0;[RED]&quot;¥-&quot;#,##0"/>
    <numFmt numFmtId="167" formatCode="0.0%"/>
    <numFmt numFmtId="168" formatCode="0.0"/>
    <numFmt numFmtId="169" formatCode="0.0;[RED]\-0.0"/>
  </numFmts>
  <fonts count="26">
    <font>
      <sz val="11.0"/>
      <color theme="1"/>
      <name val="Calibri"/>
      <scheme val="minor"/>
    </font>
    <font>
      <b/>
      <sz val="11.0"/>
      <color rgb="FFFFFFFF"/>
      <name val="Arial"/>
    </font>
    <font>
      <b/>
      <sz val="11.0"/>
      <color rgb="FFFFFFFF"/>
      <name val="Noto Sans"/>
    </font>
    <font>
      <sz val="11.0"/>
      <color theme="1"/>
      <name val="Arial"/>
    </font>
    <font>
      <sz val="11.0"/>
      <color theme="1"/>
      <name val="Noto Sans"/>
    </font>
    <font>
      <b/>
      <sz val="11.0"/>
      <color theme="1"/>
      <name val="Arial"/>
    </font>
    <font>
      <sz val="11.0"/>
      <color rgb="FF0000FF"/>
      <name val="Arial"/>
    </font>
    <font>
      <sz val="9.0"/>
      <color theme="1"/>
      <name val="Arial"/>
    </font>
    <font>
      <sz val="11.0"/>
      <color rgb="FF000000"/>
      <name val="Arial"/>
    </font>
    <font>
      <i/>
      <sz val="9.0"/>
      <color rgb="FF595959"/>
      <name val="Noto Sans"/>
    </font>
    <font>
      <color theme="1"/>
      <name val="Calibri"/>
      <scheme val="minor"/>
    </font>
    <font>
      <i/>
      <sz val="9.0"/>
      <color rgb="FF595959"/>
      <name val="Arial"/>
    </font>
    <font>
      <sz val="9.0"/>
      <color theme="1"/>
      <name val="Noto Sans"/>
    </font>
    <font>
      <b/>
      <sz val="11.0"/>
      <color theme="1"/>
      <name val="Noto Sans"/>
    </font>
    <font>
      <sz val="11.0"/>
      <color theme="1"/>
      <name val="Calibri"/>
    </font>
    <font>
      <b/>
      <sz val="12.0"/>
      <color theme="1"/>
      <name val="Noto Sans"/>
    </font>
    <font>
      <b/>
      <sz val="12.0"/>
      <color theme="1"/>
      <name val="Arial"/>
    </font>
    <font>
      <b/>
      <sz val="14.0"/>
      <color theme="1"/>
      <name val="Noto Sans"/>
    </font>
    <font>
      <b/>
      <sz val="10.0"/>
      <color theme="1"/>
      <name val="Noto Sans"/>
    </font>
    <font>
      <sz val="10.0"/>
      <color theme="1"/>
      <name val="Arial"/>
    </font>
    <font>
      <sz val="10.0"/>
      <color theme="1"/>
      <name val="Noto Sans"/>
    </font>
    <font>
      <i/>
      <sz val="10.0"/>
      <color rgb="FF595959"/>
      <name val="Noto Sans"/>
    </font>
    <font/>
    <font>
      <b/>
      <sz val="11.0"/>
      <color rgb="FF006100"/>
      <name val="Arial"/>
    </font>
    <font>
      <sz val="11.0"/>
      <color rgb="FFC00000"/>
      <name val="Arial"/>
    </font>
    <font>
      <sz val="11.0"/>
      <color rgb="FFC00000"/>
      <name val="Noto Sans"/>
    </font>
  </fonts>
  <fills count="11">
    <fill>
      <patternFill patternType="none"/>
    </fill>
    <fill>
      <patternFill patternType="lightGray"/>
    </fill>
    <fill>
      <patternFill patternType="solid">
        <fgColor rgb="FF1F3A5F"/>
        <bgColor rgb="FF1F3A5F"/>
      </patternFill>
    </fill>
    <fill>
      <patternFill patternType="solid">
        <fgColor rgb="FFE8EEF5"/>
        <bgColor rgb="FFE8EEF5"/>
      </patternFill>
    </fill>
    <fill>
      <patternFill patternType="solid">
        <fgColor rgb="FFEAF4EA"/>
        <bgColor rgb="FFEAF4EA"/>
      </patternFill>
    </fill>
    <fill>
      <patternFill patternType="solid">
        <fgColor rgb="FFE5F1EE"/>
        <bgColor rgb="FFE5F1EE"/>
      </patternFill>
    </fill>
    <fill>
      <patternFill patternType="solid">
        <fgColor rgb="FFFCEEDC"/>
        <bgColor rgb="FFFCEEDC"/>
      </patternFill>
    </fill>
    <fill>
      <patternFill patternType="solid">
        <fgColor rgb="FFF5E8E8"/>
        <bgColor rgb="FFF5E8E8"/>
      </patternFill>
    </fill>
    <fill>
      <patternFill patternType="solid">
        <fgColor rgb="FFDDDDDD"/>
        <bgColor rgb="FFDDDDDD"/>
      </patternFill>
    </fill>
    <fill>
      <patternFill patternType="solid">
        <fgColor rgb="FFCCE5CC"/>
        <bgColor rgb="FFCCE5CC"/>
      </patternFill>
    </fill>
    <fill>
      <patternFill patternType="solid">
        <fgColor rgb="FFFFF2CC"/>
        <bgColor rgb="FFFFF2CC"/>
      </patternFill>
    </fill>
  </fills>
  <borders count="6">
    <border/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/>
      <right/>
      <top/>
      <bottom/>
    </border>
    <border>
      <left style="thin">
        <color rgb="FFBFBFBF"/>
      </left>
      <top style="thin">
        <color rgb="FFBFBFBF"/>
      </top>
      <bottom style="thin">
        <color rgb="FFBFBFBF"/>
      </bottom>
    </border>
    <border>
      <right style="thin">
        <color rgb="FFBFBFBF"/>
      </right>
      <top style="thin">
        <color rgb="FFBFBFBF"/>
      </top>
      <bottom style="thin">
        <color rgb="FFBFBFBF"/>
      </bottom>
    </border>
    <border>
      <top style="thin">
        <color rgb="FFBFBFBF"/>
      </top>
      <bottom style="thin">
        <color rgb="FFBFBFBF"/>
      </bottom>
    </border>
  </borders>
  <cellStyleXfs count="1">
    <xf borderId="0" fillId="0" fontId="0" numFmtId="0" applyAlignment="1" applyFont="1"/>
  </cellStyleXfs>
  <cellXfs count="8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2" fontId="2" numFmtId="0" xfId="0" applyAlignment="1" applyBorder="1" applyFont="1">
      <alignment horizontal="center" shrinkToFit="0" vertical="center" wrapText="1"/>
    </xf>
    <xf borderId="1" fillId="2" fontId="2" numFmtId="0" xfId="0" applyAlignment="1" applyBorder="1" applyFont="1">
      <alignment horizontal="center" readingOrder="0" shrinkToFit="0" vertical="center" wrapText="1"/>
    </xf>
    <xf borderId="1" fillId="0" fontId="3" numFmtId="0" xfId="0" applyAlignment="1" applyBorder="1" applyFont="1">
      <alignment horizontal="left" shrinkToFit="0" vertical="center" wrapText="1"/>
    </xf>
    <xf borderId="1" fillId="0" fontId="4" numFmtId="0" xfId="0" applyAlignment="1" applyBorder="1" applyFont="1">
      <alignment horizontal="left" shrinkToFit="0" vertical="center" wrapText="1"/>
    </xf>
    <xf borderId="1" fillId="3" fontId="5" numFmtId="0" xfId="0" applyAlignment="1" applyBorder="1" applyFill="1" applyFont="1">
      <alignment horizontal="left" shrinkToFit="0" vertical="center" wrapText="1"/>
    </xf>
    <xf borderId="1" fillId="0" fontId="6" numFmtId="0" xfId="0" applyAlignment="1" applyBorder="1" applyFont="1">
      <alignment horizontal="center" shrinkToFit="0" vertical="center" wrapText="1"/>
    </xf>
    <xf borderId="1" fillId="4" fontId="6" numFmtId="164" xfId="0" applyAlignment="1" applyBorder="1" applyFill="1" applyFont="1" applyNumberFormat="1">
      <alignment horizontal="center" shrinkToFit="0" vertical="center" wrapText="1"/>
    </xf>
    <xf borderId="1" fillId="4" fontId="7" numFmtId="0" xfId="0" applyAlignment="1" applyBorder="1" applyFont="1">
      <alignment horizontal="left" shrinkToFit="0" vertical="center" wrapText="1"/>
    </xf>
    <xf borderId="1" fillId="4" fontId="8" numFmtId="0" xfId="0" applyAlignment="1" applyBorder="1" applyFont="1">
      <alignment horizontal="center" shrinkToFit="0" vertical="center" wrapText="1"/>
    </xf>
    <xf borderId="1" fillId="0" fontId="6" numFmtId="165" xfId="0" applyAlignment="1" applyBorder="1" applyFont="1" applyNumberFormat="1">
      <alignment horizontal="left" shrinkToFit="0" vertical="center" wrapText="1"/>
    </xf>
    <xf borderId="1" fillId="0" fontId="8" numFmtId="165" xfId="0" applyAlignment="1" applyBorder="1" applyFont="1" applyNumberFormat="1">
      <alignment horizontal="left" shrinkToFit="0" vertical="center" wrapText="1"/>
    </xf>
    <xf borderId="1" fillId="0" fontId="7" numFmtId="0" xfId="0" applyAlignment="1" applyBorder="1" applyFont="1">
      <alignment horizontal="left" shrinkToFit="0" vertical="center" wrapText="1"/>
    </xf>
    <xf borderId="1" fillId="0" fontId="9" numFmtId="0" xfId="0" applyAlignment="1" applyBorder="1" applyFont="1">
      <alignment horizontal="left" shrinkToFit="0" vertical="center" wrapText="1"/>
    </xf>
    <xf borderId="0" fillId="0" fontId="10" numFmtId="9" xfId="0" applyAlignment="1" applyFont="1" applyNumberFormat="1">
      <alignment horizontal="center" readingOrder="0" vertical="center"/>
    </xf>
    <xf borderId="0" fillId="0" fontId="10" numFmtId="0" xfId="0" applyAlignment="1" applyFont="1">
      <alignment horizontal="center" vertical="center"/>
    </xf>
    <xf borderId="0" fillId="0" fontId="10" numFmtId="0" xfId="0" applyFont="1"/>
    <xf borderId="1" fillId="5" fontId="5" numFmtId="0" xfId="0" applyAlignment="1" applyBorder="1" applyFill="1" applyFont="1">
      <alignment horizontal="left" shrinkToFit="0" vertical="center" wrapText="1"/>
    </xf>
    <xf borderId="1" fillId="6" fontId="5" numFmtId="0" xfId="0" applyAlignment="1" applyBorder="1" applyFill="1" applyFont="1">
      <alignment horizontal="left" shrinkToFit="0" vertical="center" wrapText="1"/>
    </xf>
    <xf borderId="1" fillId="0" fontId="11" numFmtId="0" xfId="0" applyAlignment="1" applyBorder="1" applyFont="1">
      <alignment horizontal="left" shrinkToFit="0" vertical="center" wrapText="1"/>
    </xf>
    <xf borderId="1" fillId="7" fontId="5" numFmtId="0" xfId="0" applyAlignment="1" applyBorder="1" applyFill="1" applyFont="1">
      <alignment horizontal="left" shrinkToFit="0" vertical="center" wrapText="1"/>
    </xf>
    <xf borderId="1" fillId="0" fontId="12" numFmtId="0" xfId="0" applyAlignment="1" applyBorder="1" applyFont="1">
      <alignment horizontal="left" shrinkToFit="0" vertical="center" wrapText="1"/>
    </xf>
    <xf borderId="1" fillId="8" fontId="13" numFmtId="0" xfId="0" applyAlignment="1" applyBorder="1" applyFill="1" applyFont="1">
      <alignment horizontal="left" shrinkToFit="0" vertical="center" wrapText="1"/>
    </xf>
    <xf borderId="1" fillId="0" fontId="14" numFmtId="0" xfId="0" applyAlignment="1" applyBorder="1" applyFont="1">
      <alignment horizontal="center" shrinkToFit="0" vertical="center" wrapText="1"/>
    </xf>
    <xf borderId="1" fillId="0" fontId="14" numFmtId="0" xfId="0" applyAlignment="1" applyBorder="1" applyFont="1">
      <alignment horizontal="left" shrinkToFit="0" vertical="center" wrapText="1"/>
    </xf>
    <xf borderId="1" fillId="9" fontId="5" numFmtId="0" xfId="0" applyAlignment="1" applyBorder="1" applyFill="1" applyFont="1">
      <alignment horizontal="left" shrinkToFit="0" vertical="center" wrapText="1"/>
    </xf>
    <xf borderId="1" fillId="10" fontId="14" numFmtId="0" xfId="0" applyAlignment="1" applyBorder="1" applyFill="1" applyFont="1">
      <alignment shrinkToFit="0" vertical="bottom" wrapText="0"/>
    </xf>
    <xf borderId="1" fillId="10" fontId="15" numFmtId="0" xfId="0" applyAlignment="1" applyBorder="1" applyFont="1">
      <alignment horizontal="right" shrinkToFit="0" vertical="center" wrapText="0"/>
    </xf>
    <xf borderId="1" fillId="10" fontId="5" numFmtId="0" xfId="0" applyAlignment="1" applyBorder="1" applyFont="1">
      <alignment horizontal="center" shrinkToFit="0" vertical="bottom" wrapText="0"/>
    </xf>
    <xf borderId="1" fillId="10" fontId="5" numFmtId="165" xfId="0" applyAlignment="1" applyBorder="1" applyFont="1" applyNumberFormat="1">
      <alignment shrinkToFit="0" vertical="bottom" wrapText="0"/>
    </xf>
    <xf borderId="1" fillId="10" fontId="16" numFmtId="165" xfId="0" applyAlignment="1" applyBorder="1" applyFont="1" applyNumberFormat="1">
      <alignment shrinkToFit="0" vertical="bottom" wrapText="0"/>
    </xf>
    <xf borderId="0" fillId="0" fontId="13" numFmtId="0" xfId="0" applyAlignment="1" applyFont="1">
      <alignment shrinkToFit="0" vertical="bottom" wrapText="0"/>
    </xf>
    <xf borderId="0" fillId="0" fontId="6" numFmtId="165" xfId="0" applyAlignment="1" applyFont="1" applyNumberFormat="1">
      <alignment shrinkToFit="0" vertical="bottom" wrapText="0"/>
    </xf>
    <xf borderId="0" fillId="0" fontId="8" numFmtId="166" xfId="0" applyAlignment="1" applyFont="1" applyNumberFormat="1">
      <alignment shrinkToFit="0" vertical="bottom" wrapText="0"/>
    </xf>
    <xf borderId="0" fillId="0" fontId="8" numFmtId="167" xfId="0" applyAlignment="1" applyFont="1" applyNumberForma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8" numFmtId="168" xfId="0" applyAlignment="1" applyFont="1" applyNumberFormat="1">
      <alignment horizontal="center" shrinkToFit="0" vertical="bottom" wrapText="0"/>
    </xf>
    <xf borderId="0" fillId="0" fontId="4" numFmtId="0" xfId="0" applyAlignment="1" applyFont="1">
      <alignment shrinkToFit="0" vertical="bottom" wrapText="0"/>
    </xf>
    <xf borderId="0" fillId="0" fontId="8" numFmtId="169" xfId="0" applyAlignment="1" applyFont="1" applyNumberFormat="1">
      <alignment horizontal="center" shrinkToFit="0" vertical="bottom" wrapText="0"/>
    </xf>
    <xf borderId="0" fillId="0" fontId="17" numFmtId="0" xfId="0" applyAlignment="1" applyFont="1">
      <alignment shrinkToFit="0" vertical="bottom" wrapText="0"/>
    </xf>
    <xf borderId="1" fillId="3" fontId="5" numFmtId="0" xfId="0" applyAlignment="1" applyBorder="1" applyFont="1">
      <alignment shrinkToFit="0" vertical="center" wrapText="1"/>
    </xf>
    <xf borderId="1" fillId="0" fontId="3" numFmtId="3" xfId="0" applyAlignment="1" applyBorder="1" applyFont="1" applyNumberFormat="1">
      <alignment shrinkToFit="0" vertical="center" wrapText="1"/>
    </xf>
    <xf borderId="1" fillId="0" fontId="3" numFmtId="168" xfId="0" applyAlignment="1" applyBorder="1" applyFont="1" applyNumberFormat="1">
      <alignment shrinkToFit="0" vertical="center" wrapText="1"/>
    </xf>
    <xf borderId="1" fillId="0" fontId="3" numFmtId="167" xfId="0" applyAlignment="1" applyBorder="1" applyFont="1" applyNumberFormat="1">
      <alignment shrinkToFit="0" vertical="center" wrapText="1"/>
    </xf>
    <xf borderId="1" fillId="0" fontId="3" numFmtId="165" xfId="0" applyAlignment="1" applyBorder="1" applyFont="1" applyNumberFormat="1">
      <alignment shrinkToFit="0" vertical="center" wrapText="1"/>
    </xf>
    <xf borderId="1" fillId="5" fontId="5" numFmtId="0" xfId="0" applyAlignment="1" applyBorder="1" applyFont="1">
      <alignment shrinkToFit="0" vertical="center" wrapText="1"/>
    </xf>
    <xf borderId="1" fillId="6" fontId="5" numFmtId="0" xfId="0" applyAlignment="1" applyBorder="1" applyFont="1">
      <alignment shrinkToFit="0" vertical="center" wrapText="1"/>
    </xf>
    <xf borderId="1" fillId="7" fontId="5" numFmtId="0" xfId="0" applyAlignment="1" applyBorder="1" applyFont="1">
      <alignment shrinkToFit="0" vertical="center" wrapText="1"/>
    </xf>
    <xf borderId="1" fillId="8" fontId="13" numFmtId="0" xfId="0" applyAlignment="1" applyBorder="1" applyFont="1">
      <alignment shrinkToFit="0" vertical="center" wrapText="1"/>
    </xf>
    <xf borderId="1" fillId="9" fontId="5" numFmtId="0" xfId="0" applyAlignment="1" applyBorder="1" applyFont="1">
      <alignment shrinkToFit="0" vertical="center" wrapText="0"/>
    </xf>
    <xf borderId="1" fillId="0" fontId="14" numFmtId="0" xfId="0" applyAlignment="1" applyBorder="1" applyFont="1">
      <alignment shrinkToFit="0" vertical="center" wrapText="0"/>
    </xf>
    <xf borderId="1" fillId="0" fontId="14" numFmtId="167" xfId="0" applyAlignment="1" applyBorder="1" applyFont="1" applyNumberFormat="1">
      <alignment shrinkToFit="0" vertical="center" wrapText="0"/>
    </xf>
    <xf borderId="1" fillId="0" fontId="14" numFmtId="165" xfId="0" applyAlignment="1" applyBorder="1" applyFont="1" applyNumberFormat="1">
      <alignment shrinkToFit="0" vertical="center" wrapText="0"/>
    </xf>
    <xf borderId="2" fillId="10" fontId="13" numFmtId="0" xfId="0" applyAlignment="1" applyBorder="1" applyFont="1">
      <alignment shrinkToFit="0" vertical="bottom" wrapText="0"/>
    </xf>
    <xf borderId="1" fillId="10" fontId="5" numFmtId="3" xfId="0" applyAlignment="1" applyBorder="1" applyFont="1" applyNumberFormat="1">
      <alignment shrinkToFit="0" vertical="bottom" wrapText="0"/>
    </xf>
    <xf borderId="1" fillId="10" fontId="5" numFmtId="168" xfId="0" applyAlignment="1" applyBorder="1" applyFont="1" applyNumberFormat="1">
      <alignment shrinkToFit="0" vertical="bottom" wrapText="0"/>
    </xf>
    <xf borderId="1" fillId="10" fontId="5" numFmtId="167" xfId="0" applyAlignment="1" applyBorder="1" applyFont="1" applyNumberFormat="1">
      <alignment shrinkToFit="0" vertical="bottom" wrapText="0"/>
    </xf>
    <xf borderId="0" fillId="0" fontId="14" numFmtId="166" xfId="0" applyAlignment="1" applyFont="1" applyNumberFormat="1">
      <alignment shrinkToFit="0" vertical="bottom" wrapText="0"/>
    </xf>
    <xf borderId="0" fillId="0" fontId="14" numFmtId="167" xfId="0" applyAlignment="1" applyFont="1" applyNumberFormat="1">
      <alignment shrinkToFit="0" vertical="bottom" wrapText="0"/>
    </xf>
    <xf borderId="0" fillId="0" fontId="8" numFmtId="168" xfId="0" applyAlignment="1" applyFont="1" applyNumberFormat="1">
      <alignment shrinkToFit="0" vertical="bottom" wrapText="0"/>
    </xf>
    <xf borderId="0" fillId="0" fontId="14" numFmtId="168" xfId="0" applyAlignment="1" applyFont="1" applyNumberFormat="1">
      <alignment shrinkToFit="0" vertical="bottom" wrapText="0"/>
    </xf>
    <xf borderId="0" fillId="0" fontId="14" numFmtId="169" xfId="0" applyAlignment="1" applyFont="1" applyNumberFormat="1">
      <alignment shrinkToFit="0" vertical="bottom" wrapText="0"/>
    </xf>
    <xf borderId="0" fillId="0" fontId="15" numFmtId="0" xfId="0" applyAlignment="1" applyFont="1">
      <alignment shrinkToFit="0" vertical="bottom" wrapText="0"/>
    </xf>
    <xf borderId="0" fillId="0" fontId="18" numFmtId="0" xfId="0" applyAlignment="1" applyFont="1">
      <alignment shrinkToFit="0" vertical="center" wrapText="1"/>
    </xf>
    <xf borderId="0" fillId="0" fontId="19" numFmtId="0" xfId="0" applyAlignment="1" applyFont="1">
      <alignment shrinkToFit="0" vertical="center" wrapText="1"/>
    </xf>
    <xf borderId="0" fillId="0" fontId="20" numFmtId="0" xfId="0" applyAlignment="1" applyFont="1">
      <alignment shrinkToFit="0" vertical="center" wrapText="1"/>
    </xf>
    <xf borderId="1" fillId="2" fontId="2" numFmtId="0" xfId="0" applyAlignment="1" applyBorder="1" applyFont="1">
      <alignment horizontal="center" shrinkToFit="0" vertical="center" wrapText="0"/>
    </xf>
    <xf borderId="1" fillId="0" fontId="5" numFmtId="0" xfId="0" applyAlignment="1" applyBorder="1" applyFont="1">
      <alignment shrinkToFit="0" vertical="center" wrapText="1"/>
    </xf>
    <xf borderId="1" fillId="0" fontId="3" numFmtId="0" xfId="0" applyAlignment="1" applyBorder="1" applyFont="1">
      <alignment shrinkToFit="0" vertical="center" wrapText="1"/>
    </xf>
    <xf borderId="1" fillId="0" fontId="4" numFmtId="0" xfId="0" applyAlignment="1" applyBorder="1" applyFont="1">
      <alignment shrinkToFit="0" vertical="center" wrapText="1"/>
    </xf>
    <xf borderId="0" fillId="0" fontId="21" numFmtId="0" xfId="0" applyAlignment="1" applyFont="1">
      <alignment shrinkToFit="0" vertical="bottom" wrapText="0"/>
    </xf>
    <xf borderId="1" fillId="0" fontId="3" numFmtId="0" xfId="0" applyAlignment="1" applyBorder="1" applyFont="1">
      <alignment horizontal="center" shrinkToFit="0" vertical="center" wrapText="1"/>
    </xf>
    <xf borderId="1" fillId="0" fontId="4" numFmtId="0" xfId="0" applyAlignment="1" applyBorder="1" applyFont="1">
      <alignment horizontal="center" shrinkToFit="0" vertical="center" wrapText="1"/>
    </xf>
    <xf borderId="1" fillId="0" fontId="14" numFmtId="165" xfId="0" applyAlignment="1" applyBorder="1" applyFont="1" applyNumberFormat="1">
      <alignment horizontal="left" shrinkToFit="0" vertical="center" wrapText="1"/>
    </xf>
    <xf borderId="3" fillId="2" fontId="1" numFmtId="0" xfId="0" applyAlignment="1" applyBorder="1" applyFont="1">
      <alignment horizontal="center" shrinkToFit="0" vertical="center" wrapText="0"/>
    </xf>
    <xf borderId="4" fillId="0" fontId="22" numFmtId="0" xfId="0" applyBorder="1" applyFont="1"/>
    <xf borderId="3" fillId="2" fontId="2" numFmtId="0" xfId="0" applyAlignment="1" applyBorder="1" applyFont="1">
      <alignment horizontal="center" shrinkToFit="0" vertical="center" wrapText="0"/>
    </xf>
    <xf borderId="3" fillId="0" fontId="13" numFmtId="0" xfId="0" applyAlignment="1" applyBorder="1" applyFont="1">
      <alignment shrinkToFit="0" vertical="bottom" wrapText="0"/>
    </xf>
    <xf borderId="5" fillId="0" fontId="22" numFmtId="0" xfId="0" applyBorder="1" applyFont="1"/>
    <xf borderId="3" fillId="0" fontId="3" numFmtId="0" xfId="0" applyAlignment="1" applyBorder="1" applyFont="1">
      <alignment horizontal="center" shrinkToFit="0" vertical="bottom" wrapText="0"/>
    </xf>
    <xf borderId="3" fillId="0" fontId="23" numFmtId="0" xfId="0" applyAlignment="1" applyBorder="1" applyFont="1">
      <alignment horizontal="center" shrinkToFit="0" vertical="bottom" wrapText="0"/>
    </xf>
    <xf borderId="3" fillId="0" fontId="24" numFmtId="0" xfId="0" applyAlignment="1" applyBorder="1" applyFont="1">
      <alignment horizontal="center" shrinkToFit="0" vertical="bottom" wrapText="0"/>
    </xf>
    <xf borderId="3" fillId="0" fontId="5" numFmtId="0" xfId="0" applyAlignment="1" applyBorder="1" applyFont="1">
      <alignment shrinkToFit="0" vertical="bottom" wrapText="0"/>
    </xf>
    <xf borderId="3" fillId="0" fontId="25" numFmtId="0" xfId="0" applyAlignment="1" applyBorder="1" applyFont="1">
      <alignment horizontal="center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9.0" ySplit="1.0" topLeftCell="J2" activePane="bottomRight" state="frozen"/>
      <selection activeCell="J1" sqref="J1" pane="topRight"/>
      <selection activeCell="A2" sqref="A2" pane="bottomLeft"/>
      <selection activeCell="J2" sqref="J2" pane="bottomRight"/>
    </sheetView>
  </sheetViews>
  <sheetFormatPr customHeight="1" defaultColWidth="14.43" defaultRowHeight="15.0"/>
  <cols>
    <col customWidth="1" min="1" max="1" width="5.0"/>
    <col customWidth="1" min="2" max="2" width="28.0"/>
    <col customWidth="1" min="3" max="3" width="30.0"/>
    <col customWidth="1" min="4" max="4" width="28.0"/>
    <col customWidth="1" min="5" max="5" width="24.0"/>
    <col customWidth="1" min="6" max="6" width="6.0"/>
    <col customWidth="1" min="7" max="7" width="51.0"/>
    <col customWidth="1" min="8" max="8" width="6.0"/>
    <col customWidth="1" min="9" max="9" width="41.29"/>
    <col customWidth="1" min="10" max="10" width="22.0"/>
    <col customWidth="1" min="11" max="11" width="9.0"/>
    <col customWidth="1" min="12" max="12" width="12.0"/>
    <col customWidth="1" min="13" max="13" width="11.0"/>
    <col customWidth="1" min="14" max="14" width="38.0"/>
    <col customWidth="1" min="15" max="15" width="12.0"/>
    <col customWidth="1" min="16" max="17" width="14.0"/>
    <col customWidth="1" min="18" max="18" width="12.0"/>
    <col customWidth="1" min="19" max="20" width="13.0"/>
    <col customWidth="1" min="21" max="21" width="28.0"/>
    <col customWidth="1" min="22" max="22" width="16.0"/>
    <col customWidth="1" min="23" max="23" width="30.0"/>
    <col customWidth="1" min="24" max="25" width="14.43"/>
    <col customWidth="1" min="26" max="26" width="11.86"/>
    <col customWidth="1" min="27" max="27" width="8.71"/>
  </cols>
  <sheetData>
    <row r="1" ht="49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3" t="s">
        <v>23</v>
      </c>
      <c r="Y1" s="3" t="s">
        <v>24</v>
      </c>
      <c r="Z1" s="2" t="s">
        <v>25</v>
      </c>
    </row>
    <row r="2">
      <c r="A2" s="4">
        <v>1.0</v>
      </c>
      <c r="B2" s="4" t="s">
        <v>26</v>
      </c>
      <c r="C2" s="4" t="s">
        <v>27</v>
      </c>
      <c r="D2" s="5" t="s">
        <v>28</v>
      </c>
      <c r="E2" s="6" t="s">
        <v>29</v>
      </c>
      <c r="F2" s="4" t="s">
        <v>30</v>
      </c>
      <c r="G2" s="5" t="s">
        <v>31</v>
      </c>
      <c r="H2" s="5" t="s">
        <v>32</v>
      </c>
      <c r="I2" s="4" t="s">
        <v>33</v>
      </c>
      <c r="J2" s="5" t="s">
        <v>34</v>
      </c>
      <c r="K2" s="7">
        <v>5.0</v>
      </c>
      <c r="L2" s="7">
        <v>3.0</v>
      </c>
      <c r="M2" s="8">
        <v>60.0</v>
      </c>
      <c r="N2" s="9" t="s">
        <v>35</v>
      </c>
      <c r="O2" s="10">
        <f t="shared" ref="O2:O46" si="1">ROUND(L2*(1-M2/100)*2,0)/2</f>
        <v>1</v>
      </c>
      <c r="P2" s="4" t="s">
        <v>36</v>
      </c>
      <c r="Q2" s="4" t="s">
        <v>37</v>
      </c>
      <c r="R2" s="11">
        <v>40000.0</v>
      </c>
      <c r="S2" s="12">
        <f t="shared" ref="S2:S46" si="2">O2*R2</f>
        <v>40000</v>
      </c>
      <c r="T2" s="11">
        <v>0.0</v>
      </c>
      <c r="U2" s="13"/>
      <c r="V2" s="12">
        <f t="shared" ref="V2:V47" si="3">S2+T2</f>
        <v>40000</v>
      </c>
      <c r="W2" s="14" t="s">
        <v>38</v>
      </c>
      <c r="X2" s="15">
        <v>1.0</v>
      </c>
      <c r="Y2" s="16"/>
      <c r="Z2" s="17" t="b">
        <v>0</v>
      </c>
    </row>
    <row r="3">
      <c r="A3" s="4">
        <v>2.0</v>
      </c>
      <c r="B3" s="4" t="s">
        <v>39</v>
      </c>
      <c r="C3" s="4" t="s">
        <v>40</v>
      </c>
      <c r="D3" s="5" t="s">
        <v>41</v>
      </c>
      <c r="E3" s="6" t="s">
        <v>42</v>
      </c>
      <c r="F3" s="4" t="s">
        <v>30</v>
      </c>
      <c r="G3" s="5" t="s">
        <v>43</v>
      </c>
      <c r="H3" s="5" t="s">
        <v>44</v>
      </c>
      <c r="I3" s="5" t="s">
        <v>45</v>
      </c>
      <c r="J3" s="5" t="s">
        <v>34</v>
      </c>
      <c r="K3" s="7">
        <v>5.0</v>
      </c>
      <c r="L3" s="7">
        <v>4.0</v>
      </c>
      <c r="M3" s="8">
        <v>60.0</v>
      </c>
      <c r="N3" s="9" t="s">
        <v>46</v>
      </c>
      <c r="O3" s="10">
        <f t="shared" si="1"/>
        <v>1.5</v>
      </c>
      <c r="P3" s="4" t="s">
        <v>47</v>
      </c>
      <c r="Q3" s="4" t="s">
        <v>48</v>
      </c>
      <c r="R3" s="11">
        <v>40000.0</v>
      </c>
      <c r="S3" s="12">
        <f t="shared" si="2"/>
        <v>60000</v>
      </c>
      <c r="T3" s="11">
        <v>0.0</v>
      </c>
      <c r="U3" s="13"/>
      <c r="V3" s="12">
        <f t="shared" si="3"/>
        <v>60000</v>
      </c>
      <c r="W3" s="14" t="s">
        <v>49</v>
      </c>
      <c r="X3" s="15">
        <v>1.0</v>
      </c>
      <c r="Y3" s="16"/>
      <c r="Z3" s="17" t="b">
        <v>0</v>
      </c>
    </row>
    <row r="4">
      <c r="A4" s="4">
        <v>3.0</v>
      </c>
      <c r="B4" s="4" t="s">
        <v>50</v>
      </c>
      <c r="C4" s="4" t="s">
        <v>51</v>
      </c>
      <c r="D4" s="5" t="s">
        <v>52</v>
      </c>
      <c r="E4" s="6" t="s">
        <v>53</v>
      </c>
      <c r="F4" s="4" t="s">
        <v>30</v>
      </c>
      <c r="G4" s="5" t="s">
        <v>54</v>
      </c>
      <c r="H4" s="5" t="s">
        <v>55</v>
      </c>
      <c r="I4" s="4" t="s">
        <v>56</v>
      </c>
      <c r="J4" s="5" t="s">
        <v>34</v>
      </c>
      <c r="K4" s="7">
        <v>4.0</v>
      </c>
      <c r="L4" s="7">
        <v>3.0</v>
      </c>
      <c r="M4" s="8">
        <v>60.0</v>
      </c>
      <c r="N4" s="9" t="s">
        <v>57</v>
      </c>
      <c r="O4" s="10">
        <f t="shared" si="1"/>
        <v>1</v>
      </c>
      <c r="P4" s="4" t="s">
        <v>58</v>
      </c>
      <c r="Q4" s="4" t="s">
        <v>59</v>
      </c>
      <c r="R4" s="11">
        <v>40000.0</v>
      </c>
      <c r="S4" s="12">
        <f t="shared" si="2"/>
        <v>40000</v>
      </c>
      <c r="T4" s="11">
        <v>0.0</v>
      </c>
      <c r="U4" s="13"/>
      <c r="V4" s="12">
        <f t="shared" si="3"/>
        <v>40000</v>
      </c>
      <c r="W4" s="14" t="s">
        <v>60</v>
      </c>
      <c r="X4" s="15">
        <v>1.0</v>
      </c>
      <c r="Y4" s="16"/>
      <c r="Z4" s="17" t="b">
        <v>0</v>
      </c>
    </row>
    <row r="5">
      <c r="A5" s="4">
        <v>4.0</v>
      </c>
      <c r="B5" s="4" t="s">
        <v>61</v>
      </c>
      <c r="C5" s="4" t="s">
        <v>62</v>
      </c>
      <c r="D5" s="5" t="s">
        <v>63</v>
      </c>
      <c r="E5" s="6" t="s">
        <v>64</v>
      </c>
      <c r="F5" s="4" t="s">
        <v>65</v>
      </c>
      <c r="G5" s="5" t="s">
        <v>66</v>
      </c>
      <c r="H5" s="5" t="s">
        <v>32</v>
      </c>
      <c r="I5" s="5" t="s">
        <v>67</v>
      </c>
      <c r="J5" s="5" t="s">
        <v>34</v>
      </c>
      <c r="K5" s="7">
        <v>3.0</v>
      </c>
      <c r="L5" s="7">
        <v>2.0</v>
      </c>
      <c r="M5" s="8">
        <v>60.0</v>
      </c>
      <c r="N5" s="9" t="s">
        <v>68</v>
      </c>
      <c r="O5" s="10">
        <f t="shared" si="1"/>
        <v>1</v>
      </c>
      <c r="P5" s="4" t="s">
        <v>69</v>
      </c>
      <c r="Q5" s="4" t="s">
        <v>70</v>
      </c>
      <c r="R5" s="11">
        <v>40000.0</v>
      </c>
      <c r="S5" s="12">
        <f t="shared" si="2"/>
        <v>40000</v>
      </c>
      <c r="T5" s="11">
        <v>0.0</v>
      </c>
      <c r="U5" s="13"/>
      <c r="V5" s="12">
        <f t="shared" si="3"/>
        <v>40000</v>
      </c>
      <c r="W5" s="14" t="s">
        <v>71</v>
      </c>
      <c r="X5" s="15">
        <v>1.0</v>
      </c>
      <c r="Y5" s="16"/>
      <c r="Z5" s="17" t="b">
        <v>0</v>
      </c>
    </row>
    <row r="6">
      <c r="A6" s="4">
        <v>5.0</v>
      </c>
      <c r="B6" s="4" t="s">
        <v>72</v>
      </c>
      <c r="C6" s="4" t="s">
        <v>73</v>
      </c>
      <c r="D6" s="5" t="s">
        <v>74</v>
      </c>
      <c r="E6" s="6" t="s">
        <v>75</v>
      </c>
      <c r="F6" s="4" t="s">
        <v>65</v>
      </c>
      <c r="G6" s="5" t="s">
        <v>66</v>
      </c>
      <c r="H6" s="5" t="s">
        <v>44</v>
      </c>
      <c r="I6" s="5" t="s">
        <v>76</v>
      </c>
      <c r="J6" s="5" t="s">
        <v>34</v>
      </c>
      <c r="K6" s="7">
        <v>3.0</v>
      </c>
      <c r="L6" s="7">
        <v>2.0</v>
      </c>
      <c r="M6" s="8">
        <v>60.0</v>
      </c>
      <c r="N6" s="9" t="s">
        <v>77</v>
      </c>
      <c r="O6" s="10">
        <f t="shared" si="1"/>
        <v>1</v>
      </c>
      <c r="P6" s="4" t="s">
        <v>78</v>
      </c>
      <c r="Q6" s="4" t="s">
        <v>79</v>
      </c>
      <c r="R6" s="11">
        <v>40000.0</v>
      </c>
      <c r="S6" s="12">
        <f t="shared" si="2"/>
        <v>40000</v>
      </c>
      <c r="T6" s="11">
        <v>0.0</v>
      </c>
      <c r="U6" s="13"/>
      <c r="V6" s="12">
        <f t="shared" si="3"/>
        <v>40000</v>
      </c>
      <c r="W6" s="14" t="s">
        <v>80</v>
      </c>
      <c r="X6" s="15">
        <v>1.0</v>
      </c>
      <c r="Y6" s="16"/>
      <c r="Z6" s="17" t="b">
        <v>0</v>
      </c>
    </row>
    <row r="7">
      <c r="A7" s="4">
        <v>6.0</v>
      </c>
      <c r="B7" s="4" t="s">
        <v>81</v>
      </c>
      <c r="C7" s="4" t="s">
        <v>82</v>
      </c>
      <c r="D7" s="5" t="s">
        <v>83</v>
      </c>
      <c r="E7" s="6" t="s">
        <v>84</v>
      </c>
      <c r="F7" s="4" t="s">
        <v>65</v>
      </c>
      <c r="G7" s="5" t="s">
        <v>66</v>
      </c>
      <c r="H7" s="5" t="s">
        <v>55</v>
      </c>
      <c r="I7" s="5" t="s">
        <v>85</v>
      </c>
      <c r="J7" s="5" t="s">
        <v>34</v>
      </c>
      <c r="K7" s="7">
        <v>3.0</v>
      </c>
      <c r="L7" s="7">
        <v>2.0</v>
      </c>
      <c r="M7" s="8">
        <v>60.0</v>
      </c>
      <c r="N7" s="9" t="s">
        <v>86</v>
      </c>
      <c r="O7" s="10">
        <f t="shared" si="1"/>
        <v>1</v>
      </c>
      <c r="P7" s="4" t="s">
        <v>87</v>
      </c>
      <c r="Q7" s="4" t="s">
        <v>88</v>
      </c>
      <c r="R7" s="11">
        <v>40000.0</v>
      </c>
      <c r="S7" s="12">
        <f t="shared" si="2"/>
        <v>40000</v>
      </c>
      <c r="T7" s="11">
        <v>0.0</v>
      </c>
      <c r="U7" s="13"/>
      <c r="V7" s="12">
        <f t="shared" si="3"/>
        <v>40000</v>
      </c>
      <c r="W7" s="14" t="s">
        <v>89</v>
      </c>
      <c r="X7" s="15">
        <v>1.0</v>
      </c>
      <c r="Y7" s="16"/>
      <c r="Z7" s="17" t="b">
        <v>0</v>
      </c>
    </row>
    <row r="8">
      <c r="A8" s="4">
        <v>7.0</v>
      </c>
      <c r="B8" s="4" t="s">
        <v>90</v>
      </c>
      <c r="C8" s="4" t="s">
        <v>91</v>
      </c>
      <c r="D8" s="5" t="s">
        <v>92</v>
      </c>
      <c r="E8" s="6" t="s">
        <v>93</v>
      </c>
      <c r="F8" s="4" t="s">
        <v>65</v>
      </c>
      <c r="G8" s="5" t="s">
        <v>66</v>
      </c>
      <c r="H8" s="5" t="s">
        <v>94</v>
      </c>
      <c r="I8" s="5" t="s">
        <v>95</v>
      </c>
      <c r="J8" s="5" t="s">
        <v>34</v>
      </c>
      <c r="K8" s="7">
        <v>4.0</v>
      </c>
      <c r="L8" s="7">
        <v>3.0</v>
      </c>
      <c r="M8" s="8">
        <v>60.0</v>
      </c>
      <c r="N8" s="9" t="s">
        <v>96</v>
      </c>
      <c r="O8" s="10">
        <f t="shared" si="1"/>
        <v>1</v>
      </c>
      <c r="P8" s="4" t="s">
        <v>97</v>
      </c>
      <c r="Q8" s="4" t="s">
        <v>98</v>
      </c>
      <c r="R8" s="11">
        <v>40000.0</v>
      </c>
      <c r="S8" s="12">
        <f t="shared" si="2"/>
        <v>40000</v>
      </c>
      <c r="T8" s="11">
        <v>0.0</v>
      </c>
      <c r="U8" s="13"/>
      <c r="V8" s="12">
        <f t="shared" si="3"/>
        <v>40000</v>
      </c>
      <c r="W8" s="14" t="s">
        <v>99</v>
      </c>
      <c r="X8" s="15">
        <v>1.0</v>
      </c>
      <c r="Y8" s="16"/>
      <c r="Z8" s="17" t="b">
        <v>0</v>
      </c>
    </row>
    <row r="9">
      <c r="A9" s="4">
        <v>8.0</v>
      </c>
      <c r="B9" s="4" t="s">
        <v>100</v>
      </c>
      <c r="C9" s="4" t="s">
        <v>101</v>
      </c>
      <c r="D9" s="5" t="s">
        <v>102</v>
      </c>
      <c r="E9" s="6" t="s">
        <v>103</v>
      </c>
      <c r="F9" s="4" t="s">
        <v>30</v>
      </c>
      <c r="G9" s="5" t="s">
        <v>104</v>
      </c>
      <c r="H9" s="5" t="s">
        <v>94</v>
      </c>
      <c r="I9" s="5" t="s">
        <v>105</v>
      </c>
      <c r="J9" s="5" t="s">
        <v>34</v>
      </c>
      <c r="K9" s="7">
        <v>3.0</v>
      </c>
      <c r="L9" s="7">
        <v>2.0</v>
      </c>
      <c r="M9" s="8">
        <v>60.0</v>
      </c>
      <c r="N9" s="9" t="s">
        <v>106</v>
      </c>
      <c r="O9" s="10">
        <f t="shared" si="1"/>
        <v>1</v>
      </c>
      <c r="P9" s="4" t="s">
        <v>107</v>
      </c>
      <c r="Q9" s="4" t="s">
        <v>108</v>
      </c>
      <c r="R9" s="11">
        <v>40000.0</v>
      </c>
      <c r="S9" s="12">
        <f t="shared" si="2"/>
        <v>40000</v>
      </c>
      <c r="T9" s="11">
        <v>0.0</v>
      </c>
      <c r="U9" s="13"/>
      <c r="V9" s="12">
        <f t="shared" si="3"/>
        <v>40000</v>
      </c>
      <c r="W9" s="14"/>
      <c r="X9" s="15">
        <v>1.0</v>
      </c>
      <c r="Y9" s="16"/>
      <c r="Z9" s="17" t="b">
        <v>0</v>
      </c>
    </row>
    <row r="10">
      <c r="A10" s="4">
        <v>9.0</v>
      </c>
      <c r="B10" s="4" t="s">
        <v>109</v>
      </c>
      <c r="C10" s="4" t="s">
        <v>110</v>
      </c>
      <c r="D10" s="5" t="s">
        <v>111</v>
      </c>
      <c r="E10" s="6" t="s">
        <v>112</v>
      </c>
      <c r="F10" s="4" t="s">
        <v>113</v>
      </c>
      <c r="G10" s="5" t="s">
        <v>114</v>
      </c>
      <c r="H10" s="5" t="s">
        <v>32</v>
      </c>
      <c r="I10" s="5" t="s">
        <v>115</v>
      </c>
      <c r="J10" s="5" t="s">
        <v>34</v>
      </c>
      <c r="K10" s="7">
        <v>5.0</v>
      </c>
      <c r="L10" s="7">
        <v>3.0</v>
      </c>
      <c r="M10" s="8">
        <v>65.0</v>
      </c>
      <c r="N10" s="9" t="s">
        <v>116</v>
      </c>
      <c r="O10" s="10">
        <f t="shared" si="1"/>
        <v>1</v>
      </c>
      <c r="P10" s="4" t="s">
        <v>117</v>
      </c>
      <c r="Q10" s="4" t="s">
        <v>118</v>
      </c>
      <c r="R10" s="11">
        <v>40000.0</v>
      </c>
      <c r="S10" s="12">
        <f t="shared" si="2"/>
        <v>40000</v>
      </c>
      <c r="T10" s="11">
        <v>0.0</v>
      </c>
      <c r="U10" s="13"/>
      <c r="V10" s="12">
        <f t="shared" si="3"/>
        <v>40000</v>
      </c>
      <c r="W10" s="14"/>
      <c r="X10" s="16"/>
      <c r="Y10" s="16"/>
      <c r="Z10" s="17" t="b">
        <v>0</v>
      </c>
    </row>
    <row r="11">
      <c r="A11" s="4">
        <v>10.0</v>
      </c>
      <c r="B11" s="4" t="s">
        <v>119</v>
      </c>
      <c r="C11" s="4" t="s">
        <v>120</v>
      </c>
      <c r="D11" s="5" t="s">
        <v>121</v>
      </c>
      <c r="E11" s="6" t="s">
        <v>122</v>
      </c>
      <c r="F11" s="4" t="s">
        <v>113</v>
      </c>
      <c r="G11" s="5" t="s">
        <v>123</v>
      </c>
      <c r="H11" s="5" t="s">
        <v>44</v>
      </c>
      <c r="I11" s="5" t="s">
        <v>124</v>
      </c>
      <c r="J11" s="5" t="s">
        <v>34</v>
      </c>
      <c r="K11" s="7">
        <v>5.0</v>
      </c>
      <c r="L11" s="7">
        <v>4.0</v>
      </c>
      <c r="M11" s="8">
        <v>50.0</v>
      </c>
      <c r="N11" s="9" t="s">
        <v>125</v>
      </c>
      <c r="O11" s="10">
        <f t="shared" si="1"/>
        <v>2</v>
      </c>
      <c r="P11" s="4" t="s">
        <v>126</v>
      </c>
      <c r="Q11" s="4" t="s">
        <v>127</v>
      </c>
      <c r="R11" s="11">
        <v>40000.0</v>
      </c>
      <c r="S11" s="12">
        <f t="shared" si="2"/>
        <v>80000</v>
      </c>
      <c r="T11" s="11">
        <v>0.0</v>
      </c>
      <c r="U11" s="13"/>
      <c r="V11" s="12">
        <f t="shared" si="3"/>
        <v>80000</v>
      </c>
      <c r="W11" s="14" t="s">
        <v>128</v>
      </c>
      <c r="X11" s="16"/>
      <c r="Y11" s="16"/>
      <c r="Z11" s="17" t="b">
        <v>0</v>
      </c>
    </row>
    <row r="12">
      <c r="A12" s="4">
        <v>11.0</v>
      </c>
      <c r="B12" s="4" t="s">
        <v>129</v>
      </c>
      <c r="C12" s="4" t="s">
        <v>130</v>
      </c>
      <c r="D12" s="5" t="s">
        <v>131</v>
      </c>
      <c r="E12" s="6" t="s">
        <v>132</v>
      </c>
      <c r="F12" s="4" t="s">
        <v>113</v>
      </c>
      <c r="G12" s="5" t="s">
        <v>133</v>
      </c>
      <c r="H12" s="5" t="s">
        <v>55</v>
      </c>
      <c r="I12" s="5" t="s">
        <v>134</v>
      </c>
      <c r="J12" s="5" t="s">
        <v>34</v>
      </c>
      <c r="K12" s="7">
        <v>4.0</v>
      </c>
      <c r="L12" s="7">
        <v>3.0</v>
      </c>
      <c r="M12" s="8">
        <v>65.0</v>
      </c>
      <c r="N12" s="9" t="s">
        <v>135</v>
      </c>
      <c r="O12" s="10">
        <f t="shared" si="1"/>
        <v>1</v>
      </c>
      <c r="P12" s="4" t="s">
        <v>136</v>
      </c>
      <c r="Q12" s="4" t="s">
        <v>137</v>
      </c>
      <c r="R12" s="11">
        <v>40000.0</v>
      </c>
      <c r="S12" s="12">
        <f t="shared" si="2"/>
        <v>40000</v>
      </c>
      <c r="T12" s="11">
        <v>0.0</v>
      </c>
      <c r="U12" s="13"/>
      <c r="V12" s="12">
        <f t="shared" si="3"/>
        <v>40000</v>
      </c>
      <c r="W12" s="14"/>
      <c r="X12" s="16"/>
      <c r="Y12" s="16"/>
      <c r="Z12" s="17" t="b">
        <v>0</v>
      </c>
    </row>
    <row r="13">
      <c r="A13" s="4">
        <v>12.0</v>
      </c>
      <c r="B13" s="4" t="s">
        <v>138</v>
      </c>
      <c r="C13" s="4" t="s">
        <v>139</v>
      </c>
      <c r="D13" s="5" t="s">
        <v>140</v>
      </c>
      <c r="E13" s="6" t="s">
        <v>141</v>
      </c>
      <c r="F13" s="4" t="s">
        <v>142</v>
      </c>
      <c r="G13" s="5" t="s">
        <v>143</v>
      </c>
      <c r="H13" s="5" t="s">
        <v>32</v>
      </c>
      <c r="I13" s="5" t="s">
        <v>144</v>
      </c>
      <c r="J13" s="5" t="s">
        <v>34</v>
      </c>
      <c r="K13" s="7">
        <v>5.0</v>
      </c>
      <c r="L13" s="7">
        <v>4.0</v>
      </c>
      <c r="M13" s="8">
        <v>50.0</v>
      </c>
      <c r="N13" s="9" t="s">
        <v>145</v>
      </c>
      <c r="O13" s="10">
        <f t="shared" si="1"/>
        <v>2</v>
      </c>
      <c r="P13" s="4" t="s">
        <v>146</v>
      </c>
      <c r="Q13" s="4" t="s">
        <v>147</v>
      </c>
      <c r="R13" s="11">
        <v>40000.0</v>
      </c>
      <c r="S13" s="12">
        <f t="shared" si="2"/>
        <v>80000</v>
      </c>
      <c r="T13" s="11">
        <v>0.0</v>
      </c>
      <c r="U13" s="13"/>
      <c r="V13" s="12">
        <f t="shared" si="3"/>
        <v>80000</v>
      </c>
      <c r="W13" s="14" t="s">
        <v>148</v>
      </c>
      <c r="X13" s="16"/>
      <c r="Y13" s="16"/>
      <c r="Z13" s="17" t="b">
        <v>0</v>
      </c>
    </row>
    <row r="14">
      <c r="A14" s="4">
        <v>13.0</v>
      </c>
      <c r="B14" s="4" t="s">
        <v>149</v>
      </c>
      <c r="C14" s="4" t="s">
        <v>150</v>
      </c>
      <c r="D14" s="5" t="s">
        <v>151</v>
      </c>
      <c r="E14" s="6" t="s">
        <v>152</v>
      </c>
      <c r="F14" s="4" t="s">
        <v>142</v>
      </c>
      <c r="G14" s="5" t="s">
        <v>143</v>
      </c>
      <c r="H14" s="5" t="s">
        <v>44</v>
      </c>
      <c r="I14" s="5" t="s">
        <v>153</v>
      </c>
      <c r="J14" s="5" t="s">
        <v>34</v>
      </c>
      <c r="K14" s="7">
        <v>5.0</v>
      </c>
      <c r="L14" s="7">
        <v>3.0</v>
      </c>
      <c r="M14" s="8">
        <v>65.0</v>
      </c>
      <c r="N14" s="9" t="s">
        <v>154</v>
      </c>
      <c r="O14" s="10">
        <f t="shared" si="1"/>
        <v>1</v>
      </c>
      <c r="P14" s="4" t="s">
        <v>155</v>
      </c>
      <c r="Q14" s="4" t="s">
        <v>156</v>
      </c>
      <c r="R14" s="11">
        <v>40000.0</v>
      </c>
      <c r="S14" s="12">
        <f t="shared" si="2"/>
        <v>40000</v>
      </c>
      <c r="T14" s="11">
        <v>0.0</v>
      </c>
      <c r="U14" s="13"/>
      <c r="V14" s="12">
        <f t="shared" si="3"/>
        <v>40000</v>
      </c>
      <c r="W14" s="14"/>
      <c r="X14" s="16"/>
      <c r="Y14" s="16"/>
      <c r="Z14" s="17" t="b">
        <v>0</v>
      </c>
    </row>
    <row r="15">
      <c r="A15" s="4">
        <v>14.0</v>
      </c>
      <c r="B15" s="4" t="s">
        <v>157</v>
      </c>
      <c r="C15" s="4" t="s">
        <v>158</v>
      </c>
      <c r="D15" s="5" t="s">
        <v>159</v>
      </c>
      <c r="E15" s="6" t="s">
        <v>160</v>
      </c>
      <c r="F15" s="4" t="s">
        <v>142</v>
      </c>
      <c r="G15" s="5" t="s">
        <v>143</v>
      </c>
      <c r="H15" s="5" t="s">
        <v>55</v>
      </c>
      <c r="I15" s="5" t="s">
        <v>161</v>
      </c>
      <c r="J15" s="5" t="s">
        <v>34</v>
      </c>
      <c r="K15" s="7">
        <v>4.0</v>
      </c>
      <c r="L15" s="7">
        <v>3.0</v>
      </c>
      <c r="M15" s="8">
        <v>65.0</v>
      </c>
      <c r="N15" s="9" t="s">
        <v>162</v>
      </c>
      <c r="O15" s="10">
        <f t="shared" si="1"/>
        <v>1</v>
      </c>
      <c r="P15" s="4" t="s">
        <v>163</v>
      </c>
      <c r="Q15" s="4" t="s">
        <v>164</v>
      </c>
      <c r="R15" s="11">
        <v>40000.0</v>
      </c>
      <c r="S15" s="12">
        <f t="shared" si="2"/>
        <v>40000</v>
      </c>
      <c r="T15" s="11">
        <v>0.0</v>
      </c>
      <c r="U15" s="13"/>
      <c r="V15" s="12">
        <f t="shared" si="3"/>
        <v>40000</v>
      </c>
      <c r="W15" s="14"/>
      <c r="X15" s="16"/>
      <c r="Y15" s="16"/>
      <c r="Z15" s="17" t="b">
        <v>0</v>
      </c>
    </row>
    <row r="16">
      <c r="A16" s="4">
        <v>15.0</v>
      </c>
      <c r="B16" s="4" t="s">
        <v>165</v>
      </c>
      <c r="C16" s="4" t="s">
        <v>166</v>
      </c>
      <c r="D16" s="5" t="s">
        <v>167</v>
      </c>
      <c r="E16" s="18" t="s">
        <v>168</v>
      </c>
      <c r="F16" s="4" t="s">
        <v>30</v>
      </c>
      <c r="G16" s="5" t="s">
        <v>169</v>
      </c>
      <c r="H16" s="5" t="s">
        <v>32</v>
      </c>
      <c r="I16" s="5" t="s">
        <v>170</v>
      </c>
      <c r="J16" s="5" t="s">
        <v>34</v>
      </c>
      <c r="K16" s="7">
        <v>5.0</v>
      </c>
      <c r="L16" s="7">
        <v>3.0</v>
      </c>
      <c r="M16" s="8">
        <v>40.0</v>
      </c>
      <c r="N16" s="9" t="s">
        <v>171</v>
      </c>
      <c r="O16" s="10">
        <f t="shared" si="1"/>
        <v>2</v>
      </c>
      <c r="P16" s="4" t="s">
        <v>172</v>
      </c>
      <c r="Q16" s="4" t="s">
        <v>173</v>
      </c>
      <c r="R16" s="11">
        <v>40000.0</v>
      </c>
      <c r="S16" s="12">
        <f t="shared" si="2"/>
        <v>80000</v>
      </c>
      <c r="T16" s="11">
        <v>0.0</v>
      </c>
      <c r="U16" s="13"/>
      <c r="V16" s="12">
        <f t="shared" si="3"/>
        <v>80000</v>
      </c>
      <c r="W16" s="14" t="s">
        <v>174</v>
      </c>
      <c r="X16" s="16"/>
      <c r="Y16" s="16"/>
      <c r="Z16" s="17" t="b">
        <v>0</v>
      </c>
    </row>
    <row r="17">
      <c r="A17" s="4">
        <v>16.0</v>
      </c>
      <c r="B17" s="4" t="s">
        <v>175</v>
      </c>
      <c r="C17" s="4" t="s">
        <v>176</v>
      </c>
      <c r="D17" s="5" t="s">
        <v>177</v>
      </c>
      <c r="E17" s="18" t="s">
        <v>178</v>
      </c>
      <c r="F17" s="4" t="s">
        <v>30</v>
      </c>
      <c r="G17" s="5" t="s">
        <v>179</v>
      </c>
      <c r="H17" s="5" t="s">
        <v>44</v>
      </c>
      <c r="I17" s="5" t="s">
        <v>180</v>
      </c>
      <c r="J17" s="5" t="s">
        <v>34</v>
      </c>
      <c r="K17" s="7">
        <v>5.0</v>
      </c>
      <c r="L17" s="7">
        <v>3.0</v>
      </c>
      <c r="M17" s="8">
        <v>40.0</v>
      </c>
      <c r="N17" s="9" t="s">
        <v>181</v>
      </c>
      <c r="O17" s="10">
        <f t="shared" si="1"/>
        <v>2</v>
      </c>
      <c r="P17" s="4" t="s">
        <v>182</v>
      </c>
      <c r="Q17" s="4" t="s">
        <v>183</v>
      </c>
      <c r="R17" s="11">
        <v>40000.0</v>
      </c>
      <c r="S17" s="12">
        <f t="shared" si="2"/>
        <v>80000</v>
      </c>
      <c r="T17" s="11">
        <v>0.0</v>
      </c>
      <c r="U17" s="13"/>
      <c r="V17" s="12">
        <f t="shared" si="3"/>
        <v>80000</v>
      </c>
      <c r="W17" s="14"/>
      <c r="X17" s="16"/>
      <c r="Y17" s="16"/>
      <c r="Z17" s="17" t="b">
        <v>0</v>
      </c>
    </row>
    <row r="18">
      <c r="A18" s="4">
        <v>17.0</v>
      </c>
      <c r="B18" s="4" t="s">
        <v>184</v>
      </c>
      <c r="C18" s="4" t="s">
        <v>185</v>
      </c>
      <c r="D18" s="5" t="s">
        <v>186</v>
      </c>
      <c r="E18" s="18" t="s">
        <v>187</v>
      </c>
      <c r="F18" s="4" t="s">
        <v>30</v>
      </c>
      <c r="G18" s="5" t="s">
        <v>188</v>
      </c>
      <c r="H18" s="5" t="s">
        <v>55</v>
      </c>
      <c r="I18" s="5" t="s">
        <v>189</v>
      </c>
      <c r="J18" s="5" t="s">
        <v>34</v>
      </c>
      <c r="K18" s="7">
        <v>5.0</v>
      </c>
      <c r="L18" s="7">
        <v>4.0</v>
      </c>
      <c r="M18" s="8">
        <v>50.0</v>
      </c>
      <c r="N18" s="9" t="s">
        <v>190</v>
      </c>
      <c r="O18" s="10">
        <f t="shared" si="1"/>
        <v>2</v>
      </c>
      <c r="P18" s="4" t="s">
        <v>191</v>
      </c>
      <c r="Q18" s="4" t="s">
        <v>192</v>
      </c>
      <c r="R18" s="11">
        <v>40000.0</v>
      </c>
      <c r="S18" s="12">
        <f t="shared" si="2"/>
        <v>80000</v>
      </c>
      <c r="T18" s="11">
        <v>0.0</v>
      </c>
      <c r="U18" s="13"/>
      <c r="V18" s="12">
        <f t="shared" si="3"/>
        <v>80000</v>
      </c>
      <c r="W18" s="14" t="s">
        <v>193</v>
      </c>
      <c r="X18" s="16"/>
      <c r="Y18" s="16"/>
      <c r="Z18" s="17" t="b">
        <v>0</v>
      </c>
    </row>
    <row r="19">
      <c r="A19" s="4">
        <v>18.0</v>
      </c>
      <c r="B19" s="4" t="s">
        <v>194</v>
      </c>
      <c r="C19" s="4" t="s">
        <v>195</v>
      </c>
      <c r="D19" s="5" t="s">
        <v>196</v>
      </c>
      <c r="E19" s="18" t="s">
        <v>197</v>
      </c>
      <c r="F19" s="4" t="s">
        <v>113</v>
      </c>
      <c r="G19" s="5" t="s">
        <v>198</v>
      </c>
      <c r="H19" s="5" t="s">
        <v>32</v>
      </c>
      <c r="I19" s="5" t="s">
        <v>199</v>
      </c>
      <c r="J19" s="5" t="s">
        <v>34</v>
      </c>
      <c r="K19" s="7">
        <v>5.0</v>
      </c>
      <c r="L19" s="7">
        <v>4.0</v>
      </c>
      <c r="M19" s="8">
        <v>30.0</v>
      </c>
      <c r="N19" s="9" t="s">
        <v>200</v>
      </c>
      <c r="O19" s="10">
        <f t="shared" si="1"/>
        <v>3</v>
      </c>
      <c r="P19" s="4" t="s">
        <v>201</v>
      </c>
      <c r="Q19" s="4" t="s">
        <v>202</v>
      </c>
      <c r="R19" s="11">
        <v>40000.0</v>
      </c>
      <c r="S19" s="12">
        <f t="shared" si="2"/>
        <v>120000</v>
      </c>
      <c r="T19" s="11">
        <v>0.0</v>
      </c>
      <c r="U19" s="13"/>
      <c r="V19" s="12">
        <f t="shared" si="3"/>
        <v>120000</v>
      </c>
      <c r="W19" s="14" t="s">
        <v>203</v>
      </c>
      <c r="X19" s="16"/>
      <c r="Y19" s="16"/>
      <c r="Z19" s="17" t="b">
        <v>0</v>
      </c>
    </row>
    <row r="20">
      <c r="A20" s="4">
        <v>19.0</v>
      </c>
      <c r="B20" s="4" t="s">
        <v>204</v>
      </c>
      <c r="C20" s="4" t="s">
        <v>205</v>
      </c>
      <c r="D20" s="5" t="s">
        <v>206</v>
      </c>
      <c r="E20" s="18" t="s">
        <v>207</v>
      </c>
      <c r="F20" s="4" t="s">
        <v>113</v>
      </c>
      <c r="G20" s="5" t="s">
        <v>198</v>
      </c>
      <c r="H20" s="5" t="s">
        <v>44</v>
      </c>
      <c r="I20" s="5" t="s">
        <v>208</v>
      </c>
      <c r="J20" s="5" t="s">
        <v>34</v>
      </c>
      <c r="K20" s="7">
        <v>5.0</v>
      </c>
      <c r="L20" s="7">
        <v>4.0</v>
      </c>
      <c r="M20" s="8">
        <v>40.0</v>
      </c>
      <c r="N20" s="9" t="s">
        <v>209</v>
      </c>
      <c r="O20" s="10">
        <f t="shared" si="1"/>
        <v>2.5</v>
      </c>
      <c r="P20" s="4" t="s">
        <v>210</v>
      </c>
      <c r="Q20" s="4" t="s">
        <v>211</v>
      </c>
      <c r="R20" s="11">
        <v>40000.0</v>
      </c>
      <c r="S20" s="12">
        <f t="shared" si="2"/>
        <v>100000</v>
      </c>
      <c r="T20" s="11">
        <v>0.0</v>
      </c>
      <c r="U20" s="13"/>
      <c r="V20" s="12">
        <f t="shared" si="3"/>
        <v>100000</v>
      </c>
      <c r="W20" s="14"/>
      <c r="X20" s="16"/>
      <c r="Y20" s="16"/>
      <c r="Z20" s="17" t="b">
        <v>0</v>
      </c>
    </row>
    <row r="21" ht="15.75" customHeight="1">
      <c r="A21" s="4">
        <v>20.0</v>
      </c>
      <c r="B21" s="4" t="s">
        <v>212</v>
      </c>
      <c r="C21" s="4" t="s">
        <v>213</v>
      </c>
      <c r="D21" s="5" t="s">
        <v>214</v>
      </c>
      <c r="E21" s="18" t="s">
        <v>215</v>
      </c>
      <c r="F21" s="4" t="s">
        <v>113</v>
      </c>
      <c r="G21" s="5" t="s">
        <v>198</v>
      </c>
      <c r="H21" s="5" t="s">
        <v>55</v>
      </c>
      <c r="I21" s="5" t="s">
        <v>216</v>
      </c>
      <c r="J21" s="5" t="s">
        <v>34</v>
      </c>
      <c r="K21" s="7">
        <v>4.0</v>
      </c>
      <c r="L21" s="7">
        <v>3.0</v>
      </c>
      <c r="M21" s="8">
        <v>40.0</v>
      </c>
      <c r="N21" s="9" t="s">
        <v>217</v>
      </c>
      <c r="O21" s="10">
        <f t="shared" si="1"/>
        <v>2</v>
      </c>
      <c r="P21" s="4" t="s">
        <v>218</v>
      </c>
      <c r="Q21" s="4" t="s">
        <v>219</v>
      </c>
      <c r="R21" s="11">
        <v>40000.0</v>
      </c>
      <c r="S21" s="12">
        <f t="shared" si="2"/>
        <v>80000</v>
      </c>
      <c r="T21" s="11">
        <v>0.0</v>
      </c>
      <c r="U21" s="13"/>
      <c r="V21" s="12">
        <f t="shared" si="3"/>
        <v>80000</v>
      </c>
      <c r="W21" s="14"/>
      <c r="X21" s="16"/>
      <c r="Y21" s="16"/>
      <c r="Z21" s="17" t="b">
        <v>0</v>
      </c>
    </row>
    <row r="22" ht="15.75" customHeight="1">
      <c r="A22" s="4">
        <v>21.0</v>
      </c>
      <c r="B22" s="4" t="s">
        <v>220</v>
      </c>
      <c r="C22" s="4" t="s">
        <v>221</v>
      </c>
      <c r="D22" s="5" t="s">
        <v>222</v>
      </c>
      <c r="E22" s="18" t="s">
        <v>223</v>
      </c>
      <c r="F22" s="4" t="s">
        <v>142</v>
      </c>
      <c r="G22" s="5" t="s">
        <v>224</v>
      </c>
      <c r="H22" s="5" t="s">
        <v>32</v>
      </c>
      <c r="I22" s="5" t="s">
        <v>225</v>
      </c>
      <c r="J22" s="5" t="s">
        <v>34</v>
      </c>
      <c r="K22" s="7">
        <v>4.0</v>
      </c>
      <c r="L22" s="7">
        <v>3.0</v>
      </c>
      <c r="M22" s="8">
        <v>50.0</v>
      </c>
      <c r="N22" s="9" t="s">
        <v>226</v>
      </c>
      <c r="O22" s="10">
        <f t="shared" si="1"/>
        <v>1.5</v>
      </c>
      <c r="P22" s="4" t="s">
        <v>227</v>
      </c>
      <c r="Q22" s="4" t="s">
        <v>228</v>
      </c>
      <c r="R22" s="11">
        <v>40000.0</v>
      </c>
      <c r="S22" s="12">
        <f t="shared" si="2"/>
        <v>60000</v>
      </c>
      <c r="T22" s="11">
        <v>0.0</v>
      </c>
      <c r="U22" s="13"/>
      <c r="V22" s="12">
        <f t="shared" si="3"/>
        <v>60000</v>
      </c>
      <c r="W22" s="14"/>
      <c r="X22" s="16"/>
      <c r="Y22" s="16"/>
      <c r="Z22" s="17" t="b">
        <v>0</v>
      </c>
    </row>
    <row r="23" ht="15.75" customHeight="1">
      <c r="A23" s="4">
        <v>22.0</v>
      </c>
      <c r="B23" s="4" t="s">
        <v>229</v>
      </c>
      <c r="C23" s="4" t="s">
        <v>230</v>
      </c>
      <c r="D23" s="5" t="s">
        <v>231</v>
      </c>
      <c r="E23" s="18" t="s">
        <v>232</v>
      </c>
      <c r="F23" s="4" t="s">
        <v>142</v>
      </c>
      <c r="G23" s="5" t="s">
        <v>233</v>
      </c>
      <c r="H23" s="5" t="s">
        <v>44</v>
      </c>
      <c r="I23" s="5" t="s">
        <v>234</v>
      </c>
      <c r="J23" s="5" t="s">
        <v>34</v>
      </c>
      <c r="K23" s="7">
        <v>4.0</v>
      </c>
      <c r="L23" s="7">
        <v>3.0</v>
      </c>
      <c r="M23" s="8">
        <v>50.0</v>
      </c>
      <c r="N23" s="9" t="s">
        <v>235</v>
      </c>
      <c r="O23" s="10">
        <f t="shared" si="1"/>
        <v>1.5</v>
      </c>
      <c r="P23" s="4" t="s">
        <v>236</v>
      </c>
      <c r="Q23" s="4" t="s">
        <v>237</v>
      </c>
      <c r="R23" s="11">
        <v>40000.0</v>
      </c>
      <c r="S23" s="12">
        <f t="shared" si="2"/>
        <v>60000</v>
      </c>
      <c r="T23" s="11">
        <v>0.0</v>
      </c>
      <c r="U23" s="13"/>
      <c r="V23" s="12">
        <f t="shared" si="3"/>
        <v>60000</v>
      </c>
      <c r="W23" s="14"/>
      <c r="X23" s="16"/>
      <c r="Y23" s="16"/>
      <c r="Z23" s="17" t="b">
        <v>0</v>
      </c>
    </row>
    <row r="24" ht="15.75" customHeight="1">
      <c r="A24" s="4">
        <v>23.0</v>
      </c>
      <c r="B24" s="4" t="s">
        <v>238</v>
      </c>
      <c r="C24" s="4" t="s">
        <v>239</v>
      </c>
      <c r="D24" s="5" t="s">
        <v>240</v>
      </c>
      <c r="E24" s="18" t="s">
        <v>241</v>
      </c>
      <c r="F24" s="4" t="s">
        <v>142</v>
      </c>
      <c r="G24" s="5" t="s">
        <v>242</v>
      </c>
      <c r="H24" s="5" t="s">
        <v>55</v>
      </c>
      <c r="I24" s="5" t="s">
        <v>243</v>
      </c>
      <c r="J24" s="5" t="s">
        <v>34</v>
      </c>
      <c r="K24" s="7">
        <v>4.0</v>
      </c>
      <c r="L24" s="7">
        <v>3.0</v>
      </c>
      <c r="M24" s="8">
        <v>60.0</v>
      </c>
      <c r="N24" s="9" t="s">
        <v>244</v>
      </c>
      <c r="O24" s="10">
        <f t="shared" si="1"/>
        <v>1</v>
      </c>
      <c r="P24" s="4" t="s">
        <v>245</v>
      </c>
      <c r="Q24" s="4" t="s">
        <v>246</v>
      </c>
      <c r="R24" s="11">
        <v>40000.0</v>
      </c>
      <c r="S24" s="12">
        <f t="shared" si="2"/>
        <v>40000</v>
      </c>
      <c r="T24" s="11">
        <v>0.0</v>
      </c>
      <c r="U24" s="13"/>
      <c r="V24" s="12">
        <f t="shared" si="3"/>
        <v>40000</v>
      </c>
      <c r="W24" s="14"/>
      <c r="X24" s="16"/>
      <c r="Y24" s="16"/>
      <c r="Z24" s="17" t="b">
        <v>0</v>
      </c>
    </row>
    <row r="25" ht="15.75" customHeight="1">
      <c r="A25" s="4">
        <v>24.0</v>
      </c>
      <c r="B25" s="4" t="s">
        <v>247</v>
      </c>
      <c r="C25" s="4" t="s">
        <v>248</v>
      </c>
      <c r="D25" s="5" t="s">
        <v>249</v>
      </c>
      <c r="E25" s="19" t="s">
        <v>250</v>
      </c>
      <c r="F25" s="4" t="s">
        <v>30</v>
      </c>
      <c r="G25" s="5" t="s">
        <v>251</v>
      </c>
      <c r="H25" s="5" t="s">
        <v>32</v>
      </c>
      <c r="I25" s="4" t="s">
        <v>252</v>
      </c>
      <c r="J25" s="5" t="s">
        <v>34</v>
      </c>
      <c r="K25" s="7">
        <v>5.0</v>
      </c>
      <c r="L25" s="7">
        <v>4.0</v>
      </c>
      <c r="M25" s="8">
        <v>70.0</v>
      </c>
      <c r="N25" s="9" t="s">
        <v>253</v>
      </c>
      <c r="O25" s="10">
        <f t="shared" si="1"/>
        <v>1</v>
      </c>
      <c r="P25" s="4" t="s">
        <v>254</v>
      </c>
      <c r="Q25" s="4" t="s">
        <v>255</v>
      </c>
      <c r="R25" s="11">
        <v>40000.0</v>
      </c>
      <c r="S25" s="12">
        <f t="shared" si="2"/>
        <v>40000</v>
      </c>
      <c r="T25" s="11">
        <v>0.0</v>
      </c>
      <c r="U25" s="13"/>
      <c r="V25" s="12">
        <f t="shared" si="3"/>
        <v>40000</v>
      </c>
      <c r="W25" s="20" t="s">
        <v>256</v>
      </c>
      <c r="X25" s="16"/>
      <c r="Y25" s="16"/>
      <c r="Z25" s="17" t="b">
        <v>0</v>
      </c>
    </row>
    <row r="26" ht="15.75" customHeight="1">
      <c r="A26" s="4">
        <v>25.0</v>
      </c>
      <c r="B26" s="4" t="s">
        <v>257</v>
      </c>
      <c r="C26" s="4" t="s">
        <v>258</v>
      </c>
      <c r="D26" s="5" t="s">
        <v>259</v>
      </c>
      <c r="E26" s="19" t="s">
        <v>260</v>
      </c>
      <c r="F26" s="4" t="s">
        <v>30</v>
      </c>
      <c r="G26" s="5" t="s">
        <v>261</v>
      </c>
      <c r="H26" s="5" t="s">
        <v>44</v>
      </c>
      <c r="I26" s="5" t="s">
        <v>262</v>
      </c>
      <c r="J26" s="5" t="s">
        <v>34</v>
      </c>
      <c r="K26" s="7">
        <v>5.0</v>
      </c>
      <c r="L26" s="7">
        <v>4.0</v>
      </c>
      <c r="M26" s="8">
        <v>65.0</v>
      </c>
      <c r="N26" s="9" t="s">
        <v>263</v>
      </c>
      <c r="O26" s="10">
        <f t="shared" si="1"/>
        <v>1.5</v>
      </c>
      <c r="P26" s="4" t="s">
        <v>264</v>
      </c>
      <c r="Q26" s="4" t="s">
        <v>265</v>
      </c>
      <c r="R26" s="11">
        <v>40000.0</v>
      </c>
      <c r="S26" s="12">
        <f t="shared" si="2"/>
        <v>60000</v>
      </c>
      <c r="T26" s="11">
        <v>0.0</v>
      </c>
      <c r="U26" s="13"/>
      <c r="V26" s="12">
        <f t="shared" si="3"/>
        <v>60000</v>
      </c>
      <c r="W26" s="14"/>
      <c r="X26" s="16"/>
      <c r="Y26" s="16"/>
      <c r="Z26" s="17" t="b">
        <v>0</v>
      </c>
    </row>
    <row r="27" ht="15.75" customHeight="1">
      <c r="A27" s="4">
        <v>26.0</v>
      </c>
      <c r="B27" s="4" t="s">
        <v>266</v>
      </c>
      <c r="C27" s="4" t="s">
        <v>267</v>
      </c>
      <c r="D27" s="5" t="s">
        <v>268</v>
      </c>
      <c r="E27" s="19" t="s">
        <v>269</v>
      </c>
      <c r="F27" s="4" t="s">
        <v>30</v>
      </c>
      <c r="G27" s="5" t="s">
        <v>270</v>
      </c>
      <c r="H27" s="5" t="s">
        <v>55</v>
      </c>
      <c r="I27" s="5" t="s">
        <v>271</v>
      </c>
      <c r="J27" s="5" t="s">
        <v>34</v>
      </c>
      <c r="K27" s="7">
        <v>4.0</v>
      </c>
      <c r="L27" s="7">
        <v>3.0</v>
      </c>
      <c r="M27" s="8">
        <v>65.0</v>
      </c>
      <c r="N27" s="9" t="s">
        <v>272</v>
      </c>
      <c r="O27" s="10">
        <f t="shared" si="1"/>
        <v>1</v>
      </c>
      <c r="P27" s="4" t="s">
        <v>273</v>
      </c>
      <c r="Q27" s="4" t="s">
        <v>274</v>
      </c>
      <c r="R27" s="11">
        <v>40000.0</v>
      </c>
      <c r="S27" s="12">
        <f t="shared" si="2"/>
        <v>40000</v>
      </c>
      <c r="T27" s="11">
        <v>0.0</v>
      </c>
      <c r="U27" s="13"/>
      <c r="V27" s="12">
        <f t="shared" si="3"/>
        <v>40000</v>
      </c>
      <c r="W27" s="14"/>
      <c r="X27" s="16"/>
      <c r="Y27" s="16"/>
      <c r="Z27" s="17" t="b">
        <v>0</v>
      </c>
    </row>
    <row r="28" ht="15.75" customHeight="1">
      <c r="A28" s="4">
        <v>27.0</v>
      </c>
      <c r="B28" s="4" t="s">
        <v>275</v>
      </c>
      <c r="C28" s="4" t="s">
        <v>276</v>
      </c>
      <c r="D28" s="5" t="s">
        <v>277</v>
      </c>
      <c r="E28" s="19" t="s">
        <v>278</v>
      </c>
      <c r="F28" s="4" t="s">
        <v>30</v>
      </c>
      <c r="G28" s="5" t="s">
        <v>279</v>
      </c>
      <c r="H28" s="5" t="s">
        <v>94</v>
      </c>
      <c r="I28" s="5" t="s">
        <v>280</v>
      </c>
      <c r="J28" s="5" t="s">
        <v>34</v>
      </c>
      <c r="K28" s="7">
        <v>3.0</v>
      </c>
      <c r="L28" s="7">
        <v>2.0</v>
      </c>
      <c r="M28" s="8">
        <v>60.0</v>
      </c>
      <c r="N28" s="9" t="s">
        <v>281</v>
      </c>
      <c r="O28" s="10">
        <f t="shared" si="1"/>
        <v>1</v>
      </c>
      <c r="P28" s="4" t="s">
        <v>282</v>
      </c>
      <c r="Q28" s="4" t="s">
        <v>283</v>
      </c>
      <c r="R28" s="11">
        <v>40000.0</v>
      </c>
      <c r="S28" s="12">
        <f t="shared" si="2"/>
        <v>40000</v>
      </c>
      <c r="T28" s="11">
        <v>0.0</v>
      </c>
      <c r="U28" s="13"/>
      <c r="V28" s="12">
        <f t="shared" si="3"/>
        <v>40000</v>
      </c>
      <c r="W28" s="14"/>
      <c r="X28" s="16"/>
      <c r="Y28" s="16"/>
      <c r="Z28" s="17" t="b">
        <v>0</v>
      </c>
    </row>
    <row r="29" ht="15.75" customHeight="1">
      <c r="A29" s="4">
        <v>28.0</v>
      </c>
      <c r="B29" s="4" t="s">
        <v>284</v>
      </c>
      <c r="C29" s="4" t="s">
        <v>285</v>
      </c>
      <c r="D29" s="5" t="s">
        <v>286</v>
      </c>
      <c r="E29" s="19" t="s">
        <v>287</v>
      </c>
      <c r="F29" s="4" t="s">
        <v>113</v>
      </c>
      <c r="G29" s="5" t="s">
        <v>288</v>
      </c>
      <c r="H29" s="5" t="s">
        <v>32</v>
      </c>
      <c r="I29" s="5" t="s">
        <v>289</v>
      </c>
      <c r="J29" s="5" t="s">
        <v>34</v>
      </c>
      <c r="K29" s="7">
        <v>5.0</v>
      </c>
      <c r="L29" s="7">
        <v>4.0</v>
      </c>
      <c r="M29" s="8">
        <v>40.0</v>
      </c>
      <c r="N29" s="9" t="s">
        <v>290</v>
      </c>
      <c r="O29" s="10">
        <f t="shared" si="1"/>
        <v>2.5</v>
      </c>
      <c r="P29" s="4" t="s">
        <v>291</v>
      </c>
      <c r="Q29" s="4" t="s">
        <v>292</v>
      </c>
      <c r="R29" s="11">
        <v>40000.0</v>
      </c>
      <c r="S29" s="12">
        <f t="shared" si="2"/>
        <v>100000</v>
      </c>
      <c r="T29" s="11">
        <v>0.0</v>
      </c>
      <c r="U29" s="13"/>
      <c r="V29" s="12">
        <f t="shared" si="3"/>
        <v>100000</v>
      </c>
      <c r="W29" s="14" t="s">
        <v>293</v>
      </c>
      <c r="X29" s="16"/>
      <c r="Y29" s="16"/>
      <c r="Z29" s="17" t="b">
        <v>0</v>
      </c>
    </row>
    <row r="30" ht="15.75" customHeight="1">
      <c r="A30" s="4">
        <v>29.0</v>
      </c>
      <c r="B30" s="4" t="s">
        <v>294</v>
      </c>
      <c r="C30" s="4" t="s">
        <v>295</v>
      </c>
      <c r="D30" s="5" t="s">
        <v>296</v>
      </c>
      <c r="E30" s="19" t="s">
        <v>297</v>
      </c>
      <c r="F30" s="4" t="s">
        <v>113</v>
      </c>
      <c r="G30" s="5" t="s">
        <v>288</v>
      </c>
      <c r="H30" s="5" t="s">
        <v>44</v>
      </c>
      <c r="I30" s="5" t="s">
        <v>298</v>
      </c>
      <c r="J30" s="5" t="s">
        <v>34</v>
      </c>
      <c r="K30" s="7">
        <v>5.0</v>
      </c>
      <c r="L30" s="7">
        <v>4.0</v>
      </c>
      <c r="M30" s="8">
        <v>50.0</v>
      </c>
      <c r="N30" s="9" t="s">
        <v>299</v>
      </c>
      <c r="O30" s="10">
        <f t="shared" si="1"/>
        <v>2</v>
      </c>
      <c r="P30" s="4" t="s">
        <v>300</v>
      </c>
      <c r="Q30" s="4" t="s">
        <v>301</v>
      </c>
      <c r="R30" s="11">
        <v>40000.0</v>
      </c>
      <c r="S30" s="12">
        <f t="shared" si="2"/>
        <v>80000</v>
      </c>
      <c r="T30" s="11">
        <v>0.0</v>
      </c>
      <c r="U30" s="13"/>
      <c r="V30" s="12">
        <f t="shared" si="3"/>
        <v>80000</v>
      </c>
      <c r="W30" s="14"/>
      <c r="X30" s="16"/>
      <c r="Y30" s="16"/>
      <c r="Z30" s="17" t="b">
        <v>0</v>
      </c>
    </row>
    <row r="31" ht="15.75" customHeight="1">
      <c r="A31" s="4">
        <v>30.0</v>
      </c>
      <c r="B31" s="4" t="s">
        <v>302</v>
      </c>
      <c r="C31" s="4" t="s">
        <v>303</v>
      </c>
      <c r="D31" s="5" t="s">
        <v>304</v>
      </c>
      <c r="E31" s="19" t="s">
        <v>305</v>
      </c>
      <c r="F31" s="4" t="s">
        <v>113</v>
      </c>
      <c r="G31" s="5" t="s">
        <v>288</v>
      </c>
      <c r="H31" s="5" t="s">
        <v>55</v>
      </c>
      <c r="I31" s="5" t="s">
        <v>153</v>
      </c>
      <c r="J31" s="5" t="s">
        <v>34</v>
      </c>
      <c r="K31" s="7">
        <v>4.0</v>
      </c>
      <c r="L31" s="7">
        <v>3.0</v>
      </c>
      <c r="M31" s="8">
        <v>60.0</v>
      </c>
      <c r="N31" s="9" t="s">
        <v>306</v>
      </c>
      <c r="O31" s="10">
        <f t="shared" si="1"/>
        <v>1</v>
      </c>
      <c r="P31" s="4" t="s">
        <v>307</v>
      </c>
      <c r="Q31" s="4" t="s">
        <v>308</v>
      </c>
      <c r="R31" s="11">
        <v>40000.0</v>
      </c>
      <c r="S31" s="12">
        <f t="shared" si="2"/>
        <v>40000</v>
      </c>
      <c r="T31" s="11">
        <v>0.0</v>
      </c>
      <c r="U31" s="13"/>
      <c r="V31" s="12">
        <f t="shared" si="3"/>
        <v>40000</v>
      </c>
      <c r="W31" s="14"/>
      <c r="X31" s="16"/>
      <c r="Y31" s="16"/>
      <c r="Z31" s="17" t="b">
        <v>0</v>
      </c>
    </row>
    <row r="32" ht="15.75" customHeight="1">
      <c r="A32" s="4">
        <v>31.0</v>
      </c>
      <c r="B32" s="4" t="s">
        <v>309</v>
      </c>
      <c r="C32" s="4" t="s">
        <v>310</v>
      </c>
      <c r="D32" s="5" t="s">
        <v>311</v>
      </c>
      <c r="E32" s="19" t="s">
        <v>312</v>
      </c>
      <c r="F32" s="4" t="s">
        <v>142</v>
      </c>
      <c r="G32" s="5" t="s">
        <v>313</v>
      </c>
      <c r="H32" s="5" t="s">
        <v>32</v>
      </c>
      <c r="I32" s="4" t="s">
        <v>314</v>
      </c>
      <c r="J32" s="5" t="s">
        <v>34</v>
      </c>
      <c r="K32" s="7">
        <v>4.0</v>
      </c>
      <c r="L32" s="7">
        <v>3.0</v>
      </c>
      <c r="M32" s="8">
        <v>55.0</v>
      </c>
      <c r="N32" s="9" t="s">
        <v>315</v>
      </c>
      <c r="O32" s="10">
        <f t="shared" si="1"/>
        <v>1.5</v>
      </c>
      <c r="P32" s="4" t="s">
        <v>316</v>
      </c>
      <c r="Q32" s="4" t="s">
        <v>317</v>
      </c>
      <c r="R32" s="11">
        <v>40000.0</v>
      </c>
      <c r="S32" s="12">
        <f t="shared" si="2"/>
        <v>60000</v>
      </c>
      <c r="T32" s="11">
        <v>0.0</v>
      </c>
      <c r="U32" s="13"/>
      <c r="V32" s="12">
        <f t="shared" si="3"/>
        <v>60000</v>
      </c>
      <c r="W32" s="14"/>
      <c r="X32" s="16"/>
      <c r="Y32" s="16"/>
      <c r="Z32" s="17" t="b">
        <v>0</v>
      </c>
    </row>
    <row r="33" ht="15.75" customHeight="1">
      <c r="A33" s="4">
        <v>32.0</v>
      </c>
      <c r="B33" s="4" t="s">
        <v>318</v>
      </c>
      <c r="C33" s="4" t="s">
        <v>319</v>
      </c>
      <c r="D33" s="5" t="s">
        <v>320</v>
      </c>
      <c r="E33" s="19" t="s">
        <v>321</v>
      </c>
      <c r="F33" s="4" t="s">
        <v>142</v>
      </c>
      <c r="G33" s="5" t="s">
        <v>322</v>
      </c>
      <c r="H33" s="5" t="s">
        <v>44</v>
      </c>
      <c r="I33" s="4" t="s">
        <v>323</v>
      </c>
      <c r="J33" s="5" t="s">
        <v>34</v>
      </c>
      <c r="K33" s="7">
        <v>4.0</v>
      </c>
      <c r="L33" s="7">
        <v>3.0</v>
      </c>
      <c r="M33" s="8">
        <v>50.0</v>
      </c>
      <c r="N33" s="9" t="s">
        <v>324</v>
      </c>
      <c r="O33" s="10">
        <f t="shared" si="1"/>
        <v>1.5</v>
      </c>
      <c r="P33" s="4" t="s">
        <v>325</v>
      </c>
      <c r="Q33" s="4" t="s">
        <v>326</v>
      </c>
      <c r="R33" s="11">
        <v>40000.0</v>
      </c>
      <c r="S33" s="12">
        <f t="shared" si="2"/>
        <v>60000</v>
      </c>
      <c r="T33" s="11">
        <v>0.0</v>
      </c>
      <c r="U33" s="13"/>
      <c r="V33" s="12">
        <f t="shared" si="3"/>
        <v>60000</v>
      </c>
      <c r="W33" s="14"/>
      <c r="X33" s="16"/>
      <c r="Y33" s="16"/>
      <c r="Z33" s="17" t="b">
        <v>0</v>
      </c>
    </row>
    <row r="34" ht="15.75" customHeight="1">
      <c r="A34" s="4">
        <v>33.0</v>
      </c>
      <c r="B34" s="4" t="s">
        <v>327</v>
      </c>
      <c r="C34" s="4" t="s">
        <v>328</v>
      </c>
      <c r="D34" s="5" t="s">
        <v>329</v>
      </c>
      <c r="E34" s="19" t="s">
        <v>330</v>
      </c>
      <c r="F34" s="4" t="s">
        <v>142</v>
      </c>
      <c r="G34" s="5" t="s">
        <v>331</v>
      </c>
      <c r="H34" s="5" t="s">
        <v>55</v>
      </c>
      <c r="I34" s="5" t="s">
        <v>332</v>
      </c>
      <c r="J34" s="5" t="s">
        <v>34</v>
      </c>
      <c r="K34" s="7">
        <v>3.0</v>
      </c>
      <c r="L34" s="7">
        <v>2.0</v>
      </c>
      <c r="M34" s="8">
        <v>65.0</v>
      </c>
      <c r="N34" s="9" t="s">
        <v>333</v>
      </c>
      <c r="O34" s="10">
        <f t="shared" si="1"/>
        <v>0.5</v>
      </c>
      <c r="P34" s="4" t="s">
        <v>334</v>
      </c>
      <c r="Q34" s="4" t="s">
        <v>335</v>
      </c>
      <c r="R34" s="11">
        <v>40000.0</v>
      </c>
      <c r="S34" s="12">
        <f t="shared" si="2"/>
        <v>20000</v>
      </c>
      <c r="T34" s="11">
        <v>0.0</v>
      </c>
      <c r="U34" s="13"/>
      <c r="V34" s="12">
        <f t="shared" si="3"/>
        <v>20000</v>
      </c>
      <c r="W34" s="14"/>
      <c r="X34" s="16"/>
      <c r="Y34" s="16"/>
      <c r="Z34" s="17" t="b">
        <v>0</v>
      </c>
    </row>
    <row r="35" ht="15.75" customHeight="1">
      <c r="A35" s="4">
        <v>34.0</v>
      </c>
      <c r="B35" s="4" t="s">
        <v>336</v>
      </c>
      <c r="C35" s="4" t="s">
        <v>337</v>
      </c>
      <c r="D35" s="5" t="s">
        <v>338</v>
      </c>
      <c r="E35" s="21" t="s">
        <v>339</v>
      </c>
      <c r="F35" s="4" t="s">
        <v>30</v>
      </c>
      <c r="G35" s="5" t="s">
        <v>340</v>
      </c>
      <c r="H35" s="5" t="s">
        <v>32</v>
      </c>
      <c r="I35" s="5" t="s">
        <v>341</v>
      </c>
      <c r="J35" s="5" t="s">
        <v>342</v>
      </c>
      <c r="K35" s="7">
        <v>5.0</v>
      </c>
      <c r="L35" s="7">
        <v>4.0</v>
      </c>
      <c r="M35" s="8">
        <v>30.0</v>
      </c>
      <c r="N35" s="9" t="s">
        <v>343</v>
      </c>
      <c r="O35" s="10">
        <f t="shared" si="1"/>
        <v>3</v>
      </c>
      <c r="P35" s="4" t="s">
        <v>344</v>
      </c>
      <c r="Q35" s="4" t="s">
        <v>345</v>
      </c>
      <c r="R35" s="11">
        <v>50000.0</v>
      </c>
      <c r="S35" s="12">
        <f t="shared" si="2"/>
        <v>150000</v>
      </c>
      <c r="T35" s="11">
        <v>30000.0</v>
      </c>
      <c r="U35" s="22" t="s">
        <v>346</v>
      </c>
      <c r="V35" s="12">
        <f t="shared" si="3"/>
        <v>180000</v>
      </c>
      <c r="W35" s="14" t="s">
        <v>347</v>
      </c>
      <c r="X35" s="16"/>
      <c r="Y35" s="16"/>
      <c r="Z35" s="17" t="b">
        <v>0</v>
      </c>
    </row>
    <row r="36" ht="15.75" customHeight="1">
      <c r="A36" s="4">
        <v>35.0</v>
      </c>
      <c r="B36" s="4" t="s">
        <v>348</v>
      </c>
      <c r="C36" s="4" t="s">
        <v>349</v>
      </c>
      <c r="D36" s="5" t="s">
        <v>350</v>
      </c>
      <c r="E36" s="21" t="s">
        <v>351</v>
      </c>
      <c r="F36" s="4" t="s">
        <v>30</v>
      </c>
      <c r="G36" s="5" t="s">
        <v>352</v>
      </c>
      <c r="H36" s="5" t="s">
        <v>44</v>
      </c>
      <c r="I36" s="5" t="s">
        <v>353</v>
      </c>
      <c r="J36" s="5" t="s">
        <v>354</v>
      </c>
      <c r="K36" s="7">
        <v>4.0</v>
      </c>
      <c r="L36" s="7">
        <v>1.0</v>
      </c>
      <c r="M36" s="8">
        <v>50.0</v>
      </c>
      <c r="N36" s="9" t="s">
        <v>355</v>
      </c>
      <c r="O36" s="10">
        <f t="shared" si="1"/>
        <v>0.5</v>
      </c>
      <c r="P36" s="4" t="s">
        <v>356</v>
      </c>
      <c r="Q36" s="4" t="s">
        <v>357</v>
      </c>
      <c r="R36" s="11">
        <v>50000.0</v>
      </c>
      <c r="S36" s="12">
        <f t="shared" si="2"/>
        <v>25000</v>
      </c>
      <c r="T36" s="11">
        <v>10000.0</v>
      </c>
      <c r="U36" s="22" t="s">
        <v>358</v>
      </c>
      <c r="V36" s="12">
        <f t="shared" si="3"/>
        <v>35000</v>
      </c>
      <c r="W36" s="14" t="s">
        <v>359</v>
      </c>
      <c r="X36" s="16"/>
      <c r="Y36" s="16"/>
      <c r="Z36" s="17" t="b">
        <v>0</v>
      </c>
    </row>
    <row r="37" ht="15.75" customHeight="1">
      <c r="A37" s="4">
        <v>36.0</v>
      </c>
      <c r="B37" s="4" t="s">
        <v>360</v>
      </c>
      <c r="C37" s="4" t="s">
        <v>361</v>
      </c>
      <c r="D37" s="5" t="s">
        <v>362</v>
      </c>
      <c r="E37" s="21" t="s">
        <v>363</v>
      </c>
      <c r="F37" s="4" t="s">
        <v>30</v>
      </c>
      <c r="G37" s="5" t="s">
        <v>364</v>
      </c>
      <c r="H37" s="5" t="s">
        <v>55</v>
      </c>
      <c r="I37" s="5" t="s">
        <v>365</v>
      </c>
      <c r="J37" s="5" t="s">
        <v>366</v>
      </c>
      <c r="K37" s="7">
        <v>4.0</v>
      </c>
      <c r="L37" s="7">
        <v>1.0</v>
      </c>
      <c r="M37" s="8">
        <v>50.0</v>
      </c>
      <c r="N37" s="9" t="s">
        <v>367</v>
      </c>
      <c r="O37" s="10">
        <f t="shared" si="1"/>
        <v>0.5</v>
      </c>
      <c r="P37" s="4" t="s">
        <v>368</v>
      </c>
      <c r="Q37" s="4" t="s">
        <v>369</v>
      </c>
      <c r="R37" s="11">
        <v>50000.0</v>
      </c>
      <c r="S37" s="12">
        <f t="shared" si="2"/>
        <v>25000</v>
      </c>
      <c r="T37" s="11">
        <v>10000.0</v>
      </c>
      <c r="U37" s="22" t="s">
        <v>370</v>
      </c>
      <c r="V37" s="12">
        <f t="shared" si="3"/>
        <v>35000</v>
      </c>
      <c r="W37" s="14" t="s">
        <v>371</v>
      </c>
      <c r="X37" s="16"/>
      <c r="Y37" s="16"/>
      <c r="Z37" s="17" t="b">
        <v>0</v>
      </c>
    </row>
    <row r="38" ht="15.75" customHeight="1">
      <c r="A38" s="4">
        <v>37.0</v>
      </c>
      <c r="B38" s="4" t="s">
        <v>372</v>
      </c>
      <c r="C38" s="4" t="s">
        <v>373</v>
      </c>
      <c r="D38" s="5" t="s">
        <v>374</v>
      </c>
      <c r="E38" s="21" t="s">
        <v>375</v>
      </c>
      <c r="F38" s="4" t="s">
        <v>113</v>
      </c>
      <c r="G38" s="4" t="s">
        <v>376</v>
      </c>
      <c r="H38" s="5" t="s">
        <v>32</v>
      </c>
      <c r="I38" s="4" t="s">
        <v>377</v>
      </c>
      <c r="J38" s="5" t="s">
        <v>378</v>
      </c>
      <c r="K38" s="7">
        <v>5.0</v>
      </c>
      <c r="L38" s="7">
        <v>3.0</v>
      </c>
      <c r="M38" s="8">
        <v>30.0</v>
      </c>
      <c r="N38" s="9" t="s">
        <v>379</v>
      </c>
      <c r="O38" s="10">
        <f t="shared" si="1"/>
        <v>2</v>
      </c>
      <c r="P38" s="4" t="s">
        <v>380</v>
      </c>
      <c r="Q38" s="4" t="s">
        <v>381</v>
      </c>
      <c r="R38" s="11">
        <v>50000.0</v>
      </c>
      <c r="S38" s="12">
        <f t="shared" si="2"/>
        <v>100000</v>
      </c>
      <c r="T38" s="11">
        <v>30000.0</v>
      </c>
      <c r="U38" s="22" t="s">
        <v>382</v>
      </c>
      <c r="V38" s="12">
        <f t="shared" si="3"/>
        <v>130000</v>
      </c>
      <c r="W38" s="14" t="s">
        <v>383</v>
      </c>
      <c r="X38" s="16"/>
      <c r="Y38" s="16"/>
      <c r="Z38" s="17" t="b">
        <v>0</v>
      </c>
    </row>
    <row r="39" ht="15.75" customHeight="1">
      <c r="A39" s="4">
        <v>38.0</v>
      </c>
      <c r="B39" s="4" t="s">
        <v>384</v>
      </c>
      <c r="C39" s="4" t="s">
        <v>385</v>
      </c>
      <c r="D39" s="5" t="s">
        <v>386</v>
      </c>
      <c r="E39" s="21" t="s">
        <v>387</v>
      </c>
      <c r="F39" s="4" t="s">
        <v>113</v>
      </c>
      <c r="G39" s="4" t="s">
        <v>388</v>
      </c>
      <c r="H39" s="5" t="s">
        <v>44</v>
      </c>
      <c r="I39" s="5" t="s">
        <v>389</v>
      </c>
      <c r="J39" s="5" t="s">
        <v>390</v>
      </c>
      <c r="K39" s="7">
        <v>4.0</v>
      </c>
      <c r="L39" s="7">
        <v>1.0</v>
      </c>
      <c r="M39" s="8">
        <v>50.0</v>
      </c>
      <c r="N39" s="9" t="s">
        <v>391</v>
      </c>
      <c r="O39" s="10">
        <f t="shared" si="1"/>
        <v>0.5</v>
      </c>
      <c r="P39" s="4" t="s">
        <v>392</v>
      </c>
      <c r="Q39" s="4" t="s">
        <v>393</v>
      </c>
      <c r="R39" s="11">
        <v>50000.0</v>
      </c>
      <c r="S39" s="12">
        <f t="shared" si="2"/>
        <v>25000</v>
      </c>
      <c r="T39" s="11">
        <v>10000.0</v>
      </c>
      <c r="U39" s="22" t="s">
        <v>394</v>
      </c>
      <c r="V39" s="12">
        <f t="shared" si="3"/>
        <v>35000</v>
      </c>
      <c r="W39" s="14" t="s">
        <v>395</v>
      </c>
      <c r="X39" s="16"/>
      <c r="Y39" s="16"/>
      <c r="Z39" s="17" t="b">
        <v>0</v>
      </c>
    </row>
    <row r="40" ht="15.75" customHeight="1">
      <c r="A40" s="4">
        <v>39.0</v>
      </c>
      <c r="B40" s="4" t="s">
        <v>396</v>
      </c>
      <c r="C40" s="4" t="s">
        <v>397</v>
      </c>
      <c r="D40" s="5" t="s">
        <v>398</v>
      </c>
      <c r="E40" s="21" t="s">
        <v>399</v>
      </c>
      <c r="F40" s="4" t="s">
        <v>113</v>
      </c>
      <c r="G40" s="4" t="s">
        <v>400</v>
      </c>
      <c r="H40" s="5" t="s">
        <v>55</v>
      </c>
      <c r="I40" s="5" t="s">
        <v>401</v>
      </c>
      <c r="J40" s="5" t="s">
        <v>402</v>
      </c>
      <c r="K40" s="7">
        <v>4.0</v>
      </c>
      <c r="L40" s="7">
        <v>1.0</v>
      </c>
      <c r="M40" s="8">
        <v>50.0</v>
      </c>
      <c r="N40" s="9" t="s">
        <v>403</v>
      </c>
      <c r="O40" s="10">
        <f t="shared" si="1"/>
        <v>0.5</v>
      </c>
      <c r="P40" s="4" t="s">
        <v>404</v>
      </c>
      <c r="Q40" s="4" t="s">
        <v>405</v>
      </c>
      <c r="R40" s="11">
        <v>50000.0</v>
      </c>
      <c r="S40" s="12">
        <f t="shared" si="2"/>
        <v>25000</v>
      </c>
      <c r="T40" s="11">
        <v>10000.0</v>
      </c>
      <c r="U40" s="22" t="s">
        <v>406</v>
      </c>
      <c r="V40" s="12">
        <f t="shared" si="3"/>
        <v>35000</v>
      </c>
      <c r="W40" s="14" t="s">
        <v>407</v>
      </c>
      <c r="X40" s="16"/>
      <c r="Y40" s="16"/>
      <c r="Z40" s="17" t="b">
        <v>0</v>
      </c>
    </row>
    <row r="41" ht="15.75" customHeight="1">
      <c r="A41" s="4">
        <v>40.0</v>
      </c>
      <c r="B41" s="4" t="s">
        <v>408</v>
      </c>
      <c r="C41" s="4" t="s">
        <v>409</v>
      </c>
      <c r="D41" s="5" t="s">
        <v>410</v>
      </c>
      <c r="E41" s="21" t="s">
        <v>411</v>
      </c>
      <c r="F41" s="4" t="s">
        <v>142</v>
      </c>
      <c r="G41" s="5" t="s">
        <v>412</v>
      </c>
      <c r="H41" s="5" t="s">
        <v>32</v>
      </c>
      <c r="I41" s="5" t="s">
        <v>413</v>
      </c>
      <c r="J41" s="5" t="s">
        <v>414</v>
      </c>
      <c r="K41" s="7">
        <v>4.0</v>
      </c>
      <c r="L41" s="7">
        <v>3.0</v>
      </c>
      <c r="M41" s="8">
        <v>30.0</v>
      </c>
      <c r="N41" s="9" t="s">
        <v>415</v>
      </c>
      <c r="O41" s="10">
        <f t="shared" si="1"/>
        <v>2</v>
      </c>
      <c r="P41" s="4" t="s">
        <v>416</v>
      </c>
      <c r="Q41" s="4" t="s">
        <v>417</v>
      </c>
      <c r="R41" s="11">
        <v>50000.0</v>
      </c>
      <c r="S41" s="12">
        <f t="shared" si="2"/>
        <v>100000</v>
      </c>
      <c r="T41" s="11">
        <v>30000.0</v>
      </c>
      <c r="U41" s="22" t="s">
        <v>418</v>
      </c>
      <c r="V41" s="12">
        <f t="shared" si="3"/>
        <v>130000</v>
      </c>
      <c r="W41" s="14" t="s">
        <v>419</v>
      </c>
      <c r="X41" s="16"/>
      <c r="Y41" s="16"/>
      <c r="Z41" s="17" t="b">
        <v>0</v>
      </c>
    </row>
    <row r="42" ht="15.75" customHeight="1">
      <c r="A42" s="4">
        <v>41.0</v>
      </c>
      <c r="B42" s="4" t="s">
        <v>420</v>
      </c>
      <c r="C42" s="4" t="s">
        <v>421</v>
      </c>
      <c r="D42" s="5" t="s">
        <v>422</v>
      </c>
      <c r="E42" s="21" t="s">
        <v>423</v>
      </c>
      <c r="F42" s="4" t="s">
        <v>142</v>
      </c>
      <c r="G42" s="5" t="s">
        <v>412</v>
      </c>
      <c r="H42" s="5" t="s">
        <v>44</v>
      </c>
      <c r="I42" s="5" t="s">
        <v>424</v>
      </c>
      <c r="J42" s="5" t="s">
        <v>425</v>
      </c>
      <c r="K42" s="7">
        <v>4.0</v>
      </c>
      <c r="L42" s="7">
        <v>1.0</v>
      </c>
      <c r="M42" s="8">
        <v>50.0</v>
      </c>
      <c r="N42" s="9" t="s">
        <v>426</v>
      </c>
      <c r="O42" s="10">
        <f t="shared" si="1"/>
        <v>0.5</v>
      </c>
      <c r="P42" s="4" t="s">
        <v>427</v>
      </c>
      <c r="Q42" s="4" t="s">
        <v>428</v>
      </c>
      <c r="R42" s="11">
        <v>50000.0</v>
      </c>
      <c r="S42" s="12">
        <f t="shared" si="2"/>
        <v>25000</v>
      </c>
      <c r="T42" s="11">
        <v>10000.0</v>
      </c>
      <c r="U42" s="22" t="s">
        <v>429</v>
      </c>
      <c r="V42" s="12">
        <f t="shared" si="3"/>
        <v>35000</v>
      </c>
      <c r="W42" s="14" t="s">
        <v>430</v>
      </c>
      <c r="X42" s="16"/>
      <c r="Y42" s="16"/>
      <c r="Z42" s="17" t="b">
        <v>0</v>
      </c>
    </row>
    <row r="43" ht="15.75" customHeight="1">
      <c r="A43" s="4">
        <v>42.0</v>
      </c>
      <c r="B43" s="4" t="s">
        <v>431</v>
      </c>
      <c r="C43" s="4" t="s">
        <v>432</v>
      </c>
      <c r="D43" s="5" t="s">
        <v>433</v>
      </c>
      <c r="E43" s="21" t="s">
        <v>434</v>
      </c>
      <c r="F43" s="4" t="s">
        <v>142</v>
      </c>
      <c r="G43" s="5" t="s">
        <v>412</v>
      </c>
      <c r="H43" s="5" t="s">
        <v>55</v>
      </c>
      <c r="I43" s="5" t="s">
        <v>435</v>
      </c>
      <c r="J43" s="5" t="s">
        <v>436</v>
      </c>
      <c r="K43" s="7">
        <v>3.0</v>
      </c>
      <c r="L43" s="7">
        <v>1.0</v>
      </c>
      <c r="M43" s="8">
        <v>60.0</v>
      </c>
      <c r="N43" s="9" t="s">
        <v>437</v>
      </c>
      <c r="O43" s="10">
        <f t="shared" si="1"/>
        <v>0.5</v>
      </c>
      <c r="P43" s="4" t="s">
        <v>438</v>
      </c>
      <c r="Q43" s="4" t="s">
        <v>439</v>
      </c>
      <c r="R43" s="11">
        <v>50000.0</v>
      </c>
      <c r="S43" s="12">
        <f t="shared" si="2"/>
        <v>25000</v>
      </c>
      <c r="T43" s="11">
        <v>10000.0</v>
      </c>
      <c r="U43" s="22" t="s">
        <v>440</v>
      </c>
      <c r="V43" s="12">
        <f t="shared" si="3"/>
        <v>35000</v>
      </c>
      <c r="W43" s="14" t="s">
        <v>441</v>
      </c>
      <c r="X43" s="16"/>
      <c r="Y43" s="16"/>
      <c r="Z43" s="17" t="b">
        <v>0</v>
      </c>
    </row>
    <row r="44" ht="15.75" customHeight="1">
      <c r="A44" s="4">
        <v>43.0</v>
      </c>
      <c r="B44" s="4" t="s">
        <v>442</v>
      </c>
      <c r="C44" s="4" t="s">
        <v>443</v>
      </c>
      <c r="D44" s="5" t="s">
        <v>444</v>
      </c>
      <c r="E44" s="21" t="s">
        <v>445</v>
      </c>
      <c r="F44" s="4" t="s">
        <v>142</v>
      </c>
      <c r="G44" s="5" t="s">
        <v>412</v>
      </c>
      <c r="H44" s="5" t="s">
        <v>94</v>
      </c>
      <c r="I44" s="5" t="s">
        <v>446</v>
      </c>
      <c r="J44" s="5" t="s">
        <v>447</v>
      </c>
      <c r="K44" s="7">
        <v>3.0</v>
      </c>
      <c r="L44" s="7">
        <v>1.0</v>
      </c>
      <c r="M44" s="8">
        <v>60.0</v>
      </c>
      <c r="N44" s="9" t="s">
        <v>448</v>
      </c>
      <c r="O44" s="10">
        <f t="shared" si="1"/>
        <v>0.5</v>
      </c>
      <c r="P44" s="4" t="s">
        <v>449</v>
      </c>
      <c r="Q44" s="4" t="s">
        <v>450</v>
      </c>
      <c r="R44" s="11">
        <v>50000.0</v>
      </c>
      <c r="S44" s="12">
        <f t="shared" si="2"/>
        <v>25000</v>
      </c>
      <c r="T44" s="11">
        <v>10000.0</v>
      </c>
      <c r="U44" s="22" t="s">
        <v>451</v>
      </c>
      <c r="V44" s="12">
        <f t="shared" si="3"/>
        <v>35000</v>
      </c>
      <c r="W44" s="14" t="s">
        <v>441</v>
      </c>
      <c r="X44" s="16"/>
      <c r="Y44" s="16"/>
      <c r="Z44" s="17" t="b">
        <v>0</v>
      </c>
    </row>
    <row r="45" ht="15.75" customHeight="1">
      <c r="A45" s="4">
        <v>44.0</v>
      </c>
      <c r="B45" s="4" t="s">
        <v>452</v>
      </c>
      <c r="C45" s="4" t="s">
        <v>453</v>
      </c>
      <c r="D45" s="5" t="s">
        <v>454</v>
      </c>
      <c r="E45" s="21" t="s">
        <v>455</v>
      </c>
      <c r="F45" s="4" t="s">
        <v>142</v>
      </c>
      <c r="G45" s="5" t="s">
        <v>412</v>
      </c>
      <c r="H45" s="5" t="s">
        <v>456</v>
      </c>
      <c r="I45" s="5" t="s">
        <v>457</v>
      </c>
      <c r="J45" s="5" t="s">
        <v>458</v>
      </c>
      <c r="K45" s="7">
        <v>4.0</v>
      </c>
      <c r="L45" s="7">
        <v>1.0</v>
      </c>
      <c r="M45" s="8">
        <v>50.0</v>
      </c>
      <c r="N45" s="9" t="s">
        <v>459</v>
      </c>
      <c r="O45" s="10">
        <f t="shared" si="1"/>
        <v>0.5</v>
      </c>
      <c r="P45" s="4" t="s">
        <v>460</v>
      </c>
      <c r="Q45" s="4" t="s">
        <v>461</v>
      </c>
      <c r="R45" s="11">
        <v>50000.0</v>
      </c>
      <c r="S45" s="12">
        <f t="shared" si="2"/>
        <v>25000</v>
      </c>
      <c r="T45" s="11">
        <v>10000.0</v>
      </c>
      <c r="U45" s="22" t="s">
        <v>462</v>
      </c>
      <c r="V45" s="12">
        <f t="shared" si="3"/>
        <v>35000</v>
      </c>
      <c r="W45" s="14" t="s">
        <v>463</v>
      </c>
      <c r="X45" s="16"/>
      <c r="Y45" s="16"/>
      <c r="Z45" s="17" t="b">
        <v>0</v>
      </c>
    </row>
    <row r="46" ht="15.75" customHeight="1">
      <c r="A46" s="4" t="s">
        <v>464</v>
      </c>
      <c r="B46" s="4" t="s">
        <v>465</v>
      </c>
      <c r="C46" s="4" t="s">
        <v>466</v>
      </c>
      <c r="D46" s="5" t="s">
        <v>467</v>
      </c>
      <c r="E46" s="23" t="s">
        <v>468</v>
      </c>
      <c r="F46" s="24" t="s">
        <v>469</v>
      </c>
      <c r="G46" s="5" t="s">
        <v>470</v>
      </c>
      <c r="H46" s="24" t="s">
        <v>469</v>
      </c>
      <c r="I46" s="5" t="s">
        <v>471</v>
      </c>
      <c r="J46" s="5" t="s">
        <v>472</v>
      </c>
      <c r="K46" s="7">
        <v>5.0</v>
      </c>
      <c r="L46" s="7">
        <v>8.0</v>
      </c>
      <c r="M46" s="8">
        <v>60.0</v>
      </c>
      <c r="N46" s="9" t="s">
        <v>473</v>
      </c>
      <c r="O46" s="10">
        <f t="shared" si="1"/>
        <v>3</v>
      </c>
      <c r="P46" s="4" t="s">
        <v>474</v>
      </c>
      <c r="Q46" s="4" t="s">
        <v>475</v>
      </c>
      <c r="R46" s="11">
        <v>50000.0</v>
      </c>
      <c r="S46" s="12">
        <f t="shared" si="2"/>
        <v>150000</v>
      </c>
      <c r="T46" s="11">
        <v>0.0</v>
      </c>
      <c r="U46" s="4"/>
      <c r="V46" s="12">
        <f t="shared" si="3"/>
        <v>150000</v>
      </c>
      <c r="W46" s="14" t="s">
        <v>476</v>
      </c>
      <c r="X46" s="16"/>
      <c r="Y46" s="16"/>
      <c r="Z46" s="17" t="b">
        <v>0</v>
      </c>
    </row>
    <row r="47" ht="15.75" customHeight="1">
      <c r="A47" s="4" t="s">
        <v>477</v>
      </c>
      <c r="B47" s="25"/>
      <c r="C47" s="25"/>
      <c r="D47" s="25"/>
      <c r="E47" s="26" t="s">
        <v>478</v>
      </c>
      <c r="F47" s="25"/>
      <c r="G47" s="25"/>
      <c r="H47" s="25"/>
      <c r="I47" s="4" t="s">
        <v>479</v>
      </c>
      <c r="J47" s="25"/>
      <c r="K47" s="25"/>
      <c r="L47" s="25"/>
      <c r="M47" s="25"/>
      <c r="N47" s="9" t="s">
        <v>480</v>
      </c>
      <c r="O47" s="25"/>
      <c r="P47" s="4" t="s">
        <v>481</v>
      </c>
      <c r="Q47" s="4" t="s">
        <v>482</v>
      </c>
      <c r="R47" s="25"/>
      <c r="S47" s="12">
        <v>0.0</v>
      </c>
      <c r="T47" s="11">
        <v>45000.0</v>
      </c>
      <c r="U47" s="13" t="s">
        <v>483</v>
      </c>
      <c r="V47" s="12">
        <f t="shared" si="3"/>
        <v>45000</v>
      </c>
      <c r="W47" s="14" t="s">
        <v>484</v>
      </c>
      <c r="X47" s="16"/>
      <c r="Y47" s="16"/>
      <c r="Z47" s="17" t="b">
        <v>0</v>
      </c>
    </row>
    <row r="48" ht="27.75" customHeight="1">
      <c r="A48" s="27"/>
      <c r="B48" s="28" t="s">
        <v>485</v>
      </c>
      <c r="C48" s="27"/>
      <c r="D48" s="27"/>
      <c r="E48" s="27"/>
      <c r="F48" s="27"/>
      <c r="G48" s="27"/>
      <c r="H48" s="27"/>
      <c r="I48" s="27"/>
      <c r="J48" s="27"/>
      <c r="K48" s="27"/>
      <c r="L48" s="29">
        <f>SUM(L2:L46)</f>
        <v>129</v>
      </c>
      <c r="M48" s="27"/>
      <c r="N48" s="27"/>
      <c r="O48" s="29">
        <f>SUM(O2:O46)</f>
        <v>61.5</v>
      </c>
      <c r="P48" s="27"/>
      <c r="Q48" s="27"/>
      <c r="R48" s="27"/>
      <c r="S48" s="30">
        <f t="shared" ref="S48:T48" si="4">SUM(S2:S47)</f>
        <v>2600000</v>
      </c>
      <c r="T48" s="30">
        <f t="shared" si="4"/>
        <v>215000</v>
      </c>
      <c r="U48" s="27"/>
      <c r="V48" s="31">
        <f>SUM(V2:V47)</f>
        <v>2815000</v>
      </c>
      <c r="W48" s="27"/>
      <c r="X48" s="16"/>
      <c r="Y48" s="16"/>
    </row>
    <row r="49" ht="15.75" customHeight="1">
      <c r="X49" s="16"/>
      <c r="Y49" s="16"/>
    </row>
    <row r="50" ht="15.75" customHeight="1">
      <c r="B50" s="32" t="s">
        <v>486</v>
      </c>
      <c r="V50" s="33">
        <v>3000000.0</v>
      </c>
      <c r="X50" s="16"/>
      <c r="Y50" s="16"/>
    </row>
    <row r="51" ht="15.75" customHeight="1">
      <c r="B51" s="32" t="s">
        <v>487</v>
      </c>
      <c r="V51" s="34">
        <f>V50-V48</f>
        <v>185000</v>
      </c>
      <c r="X51" s="16"/>
      <c r="Y51" s="16"/>
    </row>
    <row r="52" ht="15.75" customHeight="1">
      <c r="B52" s="32" t="s">
        <v>488</v>
      </c>
      <c r="V52" s="35">
        <f>V48/V50</f>
        <v>0.9383333333</v>
      </c>
      <c r="X52" s="16"/>
      <c r="Y52" s="16"/>
    </row>
    <row r="53" ht="15.75" customHeight="1">
      <c r="X53" s="16"/>
      <c r="Y53" s="16"/>
    </row>
    <row r="54" ht="15.75" customHeight="1">
      <c r="B54" s="32" t="s">
        <v>489</v>
      </c>
      <c r="X54" s="16"/>
      <c r="Y54" s="16"/>
    </row>
    <row r="55" ht="15.75" customHeight="1">
      <c r="B55" s="36" t="s">
        <v>490</v>
      </c>
      <c r="O55" s="37">
        <v>13.5</v>
      </c>
      <c r="P55" s="38" t="s">
        <v>491</v>
      </c>
      <c r="X55" s="16"/>
      <c r="Y55" s="16"/>
    </row>
    <row r="56" ht="15.75" customHeight="1">
      <c r="B56" s="36" t="s">
        <v>492</v>
      </c>
      <c r="O56" s="37">
        <v>20.25</v>
      </c>
      <c r="P56" s="38" t="s">
        <v>491</v>
      </c>
      <c r="X56" s="16"/>
      <c r="Y56" s="16"/>
    </row>
    <row r="57" ht="15.75" customHeight="1">
      <c r="B57" s="36" t="s">
        <v>493</v>
      </c>
      <c r="O57" s="37">
        <v>9.0</v>
      </c>
      <c r="P57" s="38" t="s">
        <v>491</v>
      </c>
      <c r="X57" s="16"/>
      <c r="Y57" s="16"/>
    </row>
    <row r="58" ht="15.75" customHeight="1">
      <c r="B58" s="32" t="s">
        <v>494</v>
      </c>
      <c r="O58" s="37">
        <f>O55+O56+O57</f>
        <v>42.75</v>
      </c>
      <c r="P58" s="38" t="s">
        <v>491</v>
      </c>
      <c r="X58" s="16"/>
      <c r="Y58" s="16"/>
    </row>
    <row r="59" ht="15.75" customHeight="1">
      <c r="B59" s="32" t="s">
        <v>495</v>
      </c>
      <c r="O59" s="37">
        <f>O48</f>
        <v>61.5</v>
      </c>
      <c r="P59" s="38" t="s">
        <v>491</v>
      </c>
      <c r="X59" s="16"/>
      <c r="Y59" s="16"/>
    </row>
    <row r="60" ht="15.75" customHeight="1">
      <c r="B60" s="32" t="s">
        <v>496</v>
      </c>
      <c r="O60" s="39">
        <f>O58-O59</f>
        <v>-18.75</v>
      </c>
      <c r="P60" s="38" t="s">
        <v>491</v>
      </c>
      <c r="X60" s="16"/>
      <c r="Y60" s="16"/>
    </row>
    <row r="61" ht="15.75" customHeight="1">
      <c r="X61" s="16"/>
      <c r="Y61" s="16"/>
    </row>
    <row r="62" ht="15.75" customHeight="1">
      <c r="X62" s="16"/>
      <c r="Y62" s="16"/>
    </row>
    <row r="63" ht="15.75" customHeight="1">
      <c r="X63" s="16"/>
      <c r="Y63" s="16"/>
    </row>
    <row r="64" ht="15.75" customHeight="1">
      <c r="X64" s="16"/>
      <c r="Y64" s="16"/>
    </row>
    <row r="65" ht="15.75" customHeight="1">
      <c r="X65" s="16"/>
      <c r="Y65" s="16"/>
    </row>
    <row r="66" ht="15.75" customHeight="1">
      <c r="X66" s="16"/>
      <c r="Y66" s="16"/>
    </row>
    <row r="67" ht="15.75" customHeight="1">
      <c r="X67" s="16"/>
      <c r="Y67" s="16"/>
    </row>
    <row r="68" ht="15.75" customHeight="1">
      <c r="X68" s="16"/>
      <c r="Y68" s="16"/>
    </row>
    <row r="69" ht="15.75" customHeight="1">
      <c r="X69" s="16"/>
      <c r="Y69" s="16"/>
    </row>
    <row r="70" ht="15.75" customHeight="1">
      <c r="X70" s="16"/>
      <c r="Y70" s="16"/>
    </row>
    <row r="71" ht="15.75" customHeight="1">
      <c r="X71" s="16"/>
      <c r="Y71" s="16"/>
    </row>
    <row r="72" ht="15.75" customHeight="1">
      <c r="X72" s="16"/>
      <c r="Y72" s="16"/>
    </row>
    <row r="73" ht="15.75" customHeight="1">
      <c r="X73" s="16"/>
      <c r="Y73" s="16"/>
    </row>
    <row r="74" ht="15.75" customHeight="1">
      <c r="X74" s="16"/>
      <c r="Y74" s="16"/>
    </row>
    <row r="75" ht="15.75" customHeight="1">
      <c r="X75" s="16"/>
      <c r="Y75" s="16"/>
    </row>
    <row r="76" ht="15.75" customHeight="1">
      <c r="X76" s="16"/>
      <c r="Y76" s="16"/>
    </row>
    <row r="77" ht="15.75" customHeight="1">
      <c r="X77" s="16"/>
      <c r="Y77" s="16"/>
    </row>
    <row r="78" ht="15.75" customHeight="1">
      <c r="X78" s="16"/>
      <c r="Y78" s="16"/>
    </row>
    <row r="79" ht="15.75" customHeight="1">
      <c r="X79" s="16"/>
      <c r="Y79" s="16"/>
    </row>
    <row r="80" ht="15.75" customHeight="1">
      <c r="X80" s="16"/>
      <c r="Y80" s="16"/>
    </row>
    <row r="81" ht="15.75" customHeight="1">
      <c r="X81" s="16"/>
      <c r="Y81" s="16"/>
    </row>
    <row r="82" ht="15.75" customHeight="1">
      <c r="X82" s="16"/>
      <c r="Y82" s="16"/>
    </row>
    <row r="83" ht="15.75" customHeight="1">
      <c r="X83" s="16"/>
      <c r="Y83" s="16"/>
    </row>
    <row r="84" ht="15.75" customHeight="1">
      <c r="X84" s="16"/>
      <c r="Y84" s="16"/>
    </row>
    <row r="85" ht="15.75" customHeight="1">
      <c r="X85" s="16"/>
      <c r="Y85" s="16"/>
    </row>
    <row r="86" ht="15.75" customHeight="1">
      <c r="X86" s="16"/>
      <c r="Y86" s="16"/>
    </row>
    <row r="87" ht="15.75" customHeight="1">
      <c r="X87" s="16"/>
      <c r="Y87" s="16"/>
    </row>
    <row r="88" ht="15.75" customHeight="1">
      <c r="X88" s="16"/>
      <c r="Y88" s="16"/>
    </row>
    <row r="89" ht="15.75" customHeight="1">
      <c r="X89" s="16"/>
      <c r="Y89" s="16"/>
    </row>
    <row r="90" ht="15.75" customHeight="1">
      <c r="X90" s="16"/>
      <c r="Y90" s="16"/>
    </row>
    <row r="91" ht="15.75" customHeight="1">
      <c r="X91" s="16"/>
      <c r="Y91" s="16"/>
    </row>
    <row r="92" ht="15.75" customHeight="1">
      <c r="X92" s="16"/>
      <c r="Y92" s="16"/>
    </row>
    <row r="93" ht="15.75" customHeight="1">
      <c r="X93" s="16"/>
      <c r="Y93" s="16"/>
    </row>
    <row r="94" ht="15.75" customHeight="1">
      <c r="X94" s="16"/>
      <c r="Y94" s="16"/>
    </row>
    <row r="95" ht="15.75" customHeight="1">
      <c r="X95" s="16"/>
      <c r="Y95" s="16"/>
    </row>
    <row r="96" ht="15.75" customHeight="1">
      <c r="X96" s="16"/>
      <c r="Y96" s="16"/>
    </row>
    <row r="97" ht="15.75" customHeight="1">
      <c r="X97" s="16"/>
      <c r="Y97" s="16"/>
    </row>
    <row r="98" ht="15.75" customHeight="1">
      <c r="X98" s="16"/>
      <c r="Y98" s="16"/>
    </row>
    <row r="99" ht="15.75" customHeight="1">
      <c r="X99" s="16"/>
      <c r="Y99" s="16"/>
    </row>
    <row r="100" ht="15.75" customHeight="1">
      <c r="X100" s="16"/>
      <c r="Y100" s="16"/>
    </row>
    <row r="101" ht="15.75" customHeight="1">
      <c r="X101" s="16"/>
      <c r="Y101" s="16"/>
    </row>
    <row r="102" ht="15.75" customHeight="1">
      <c r="X102" s="16"/>
      <c r="Y102" s="16"/>
    </row>
    <row r="103" ht="15.75" customHeight="1">
      <c r="X103" s="16"/>
      <c r="Y103" s="16"/>
    </row>
    <row r="104" ht="15.75" customHeight="1">
      <c r="X104" s="16"/>
      <c r="Y104" s="16"/>
    </row>
    <row r="105" ht="15.75" customHeight="1">
      <c r="X105" s="16"/>
      <c r="Y105" s="16"/>
    </row>
    <row r="106" ht="15.75" customHeight="1">
      <c r="X106" s="16"/>
      <c r="Y106" s="16"/>
    </row>
    <row r="107" ht="15.75" customHeight="1">
      <c r="X107" s="16"/>
      <c r="Y107" s="16"/>
    </row>
    <row r="108" ht="15.75" customHeight="1">
      <c r="X108" s="16"/>
      <c r="Y108" s="16"/>
    </row>
    <row r="109" ht="15.75" customHeight="1">
      <c r="X109" s="16"/>
      <c r="Y109" s="16"/>
    </row>
    <row r="110" ht="15.75" customHeight="1">
      <c r="X110" s="16"/>
      <c r="Y110" s="16"/>
    </row>
    <row r="111" ht="15.75" customHeight="1">
      <c r="X111" s="16"/>
      <c r="Y111" s="16"/>
    </row>
    <row r="112" ht="15.75" customHeight="1">
      <c r="X112" s="16"/>
      <c r="Y112" s="16"/>
    </row>
    <row r="113" ht="15.75" customHeight="1">
      <c r="X113" s="16"/>
      <c r="Y113" s="16"/>
    </row>
    <row r="114" ht="15.75" customHeight="1">
      <c r="X114" s="16"/>
      <c r="Y114" s="16"/>
    </row>
    <row r="115" ht="15.75" customHeight="1">
      <c r="X115" s="16"/>
      <c r="Y115" s="16"/>
    </row>
    <row r="116" ht="15.75" customHeight="1">
      <c r="X116" s="16"/>
      <c r="Y116" s="16"/>
    </row>
    <row r="117" ht="15.75" customHeight="1">
      <c r="X117" s="16"/>
      <c r="Y117" s="16"/>
    </row>
    <row r="118" ht="15.75" customHeight="1">
      <c r="X118" s="16"/>
      <c r="Y118" s="16"/>
    </row>
    <row r="119" ht="15.75" customHeight="1">
      <c r="X119" s="16"/>
      <c r="Y119" s="16"/>
    </row>
    <row r="120" ht="15.75" customHeight="1">
      <c r="X120" s="16"/>
      <c r="Y120" s="16"/>
    </row>
    <row r="121" ht="15.75" customHeight="1">
      <c r="X121" s="16"/>
      <c r="Y121" s="16"/>
    </row>
    <row r="122" ht="15.75" customHeight="1">
      <c r="X122" s="16"/>
      <c r="Y122" s="16"/>
    </row>
    <row r="123" ht="15.75" customHeight="1">
      <c r="X123" s="16"/>
      <c r="Y123" s="16"/>
    </row>
    <row r="124" ht="15.75" customHeight="1">
      <c r="X124" s="16"/>
      <c r="Y124" s="16"/>
    </row>
    <row r="125" ht="15.75" customHeight="1">
      <c r="X125" s="16"/>
      <c r="Y125" s="16"/>
    </row>
    <row r="126" ht="15.75" customHeight="1">
      <c r="X126" s="16"/>
      <c r="Y126" s="16"/>
    </row>
    <row r="127" ht="15.75" customHeight="1">
      <c r="X127" s="16"/>
      <c r="Y127" s="16"/>
    </row>
    <row r="128" ht="15.75" customHeight="1">
      <c r="X128" s="16"/>
      <c r="Y128" s="16"/>
    </row>
    <row r="129" ht="15.75" customHeight="1">
      <c r="X129" s="16"/>
      <c r="Y129" s="16"/>
    </row>
    <row r="130" ht="15.75" customHeight="1">
      <c r="X130" s="16"/>
      <c r="Y130" s="16"/>
    </row>
    <row r="131" ht="15.75" customHeight="1">
      <c r="X131" s="16"/>
      <c r="Y131" s="16"/>
    </row>
    <row r="132" ht="15.75" customHeight="1">
      <c r="X132" s="16"/>
      <c r="Y132" s="16"/>
    </row>
    <row r="133" ht="15.75" customHeight="1">
      <c r="X133" s="16"/>
      <c r="Y133" s="16"/>
    </row>
    <row r="134" ht="15.75" customHeight="1">
      <c r="X134" s="16"/>
      <c r="Y134" s="16"/>
    </row>
    <row r="135" ht="15.75" customHeight="1">
      <c r="X135" s="16"/>
      <c r="Y135" s="16"/>
    </row>
    <row r="136" ht="15.75" customHeight="1">
      <c r="X136" s="16"/>
      <c r="Y136" s="16"/>
    </row>
    <row r="137" ht="15.75" customHeight="1">
      <c r="X137" s="16"/>
      <c r="Y137" s="16"/>
    </row>
    <row r="138" ht="15.75" customHeight="1">
      <c r="X138" s="16"/>
      <c r="Y138" s="16"/>
    </row>
    <row r="139" ht="15.75" customHeight="1">
      <c r="X139" s="16"/>
      <c r="Y139" s="16"/>
    </row>
    <row r="140" ht="15.75" customHeight="1">
      <c r="X140" s="16"/>
      <c r="Y140" s="16"/>
    </row>
    <row r="141" ht="15.75" customHeight="1">
      <c r="X141" s="16"/>
      <c r="Y141" s="16"/>
    </row>
    <row r="142" ht="15.75" customHeight="1">
      <c r="X142" s="16"/>
      <c r="Y142" s="16"/>
    </row>
    <row r="143" ht="15.75" customHeight="1">
      <c r="X143" s="16"/>
      <c r="Y143" s="16"/>
    </row>
    <row r="144" ht="15.75" customHeight="1">
      <c r="X144" s="16"/>
      <c r="Y144" s="16"/>
    </row>
    <row r="145" ht="15.75" customHeight="1">
      <c r="X145" s="16"/>
      <c r="Y145" s="16"/>
    </row>
    <row r="146" ht="15.75" customHeight="1">
      <c r="X146" s="16"/>
      <c r="Y146" s="16"/>
    </row>
    <row r="147" ht="15.75" customHeight="1">
      <c r="X147" s="16"/>
      <c r="Y147" s="16"/>
    </row>
    <row r="148" ht="15.75" customHeight="1">
      <c r="X148" s="16"/>
      <c r="Y148" s="16"/>
    </row>
    <row r="149" ht="15.75" customHeight="1">
      <c r="X149" s="16"/>
      <c r="Y149" s="16"/>
    </row>
    <row r="150" ht="15.75" customHeight="1">
      <c r="X150" s="16"/>
      <c r="Y150" s="16"/>
    </row>
    <row r="151" ht="15.75" customHeight="1">
      <c r="X151" s="16"/>
      <c r="Y151" s="16"/>
    </row>
    <row r="152" ht="15.75" customHeight="1">
      <c r="X152" s="16"/>
      <c r="Y152" s="16"/>
    </row>
    <row r="153" ht="15.75" customHeight="1">
      <c r="X153" s="16"/>
      <c r="Y153" s="16"/>
    </row>
    <row r="154" ht="15.75" customHeight="1">
      <c r="X154" s="16"/>
      <c r="Y154" s="16"/>
    </row>
    <row r="155" ht="15.75" customHeight="1">
      <c r="X155" s="16"/>
      <c r="Y155" s="16"/>
    </row>
    <row r="156" ht="15.75" customHeight="1">
      <c r="X156" s="16"/>
      <c r="Y156" s="16"/>
    </row>
    <row r="157" ht="15.75" customHeight="1">
      <c r="X157" s="16"/>
      <c r="Y157" s="16"/>
    </row>
    <row r="158" ht="15.75" customHeight="1">
      <c r="X158" s="16"/>
      <c r="Y158" s="16"/>
    </row>
    <row r="159" ht="15.75" customHeight="1">
      <c r="X159" s="16"/>
      <c r="Y159" s="16"/>
    </row>
    <row r="160" ht="15.75" customHeight="1">
      <c r="X160" s="16"/>
      <c r="Y160" s="16"/>
    </row>
    <row r="161" ht="15.75" customHeight="1">
      <c r="X161" s="16"/>
      <c r="Y161" s="16"/>
    </row>
    <row r="162" ht="15.75" customHeight="1">
      <c r="X162" s="16"/>
      <c r="Y162" s="16"/>
    </row>
    <row r="163" ht="15.75" customHeight="1">
      <c r="X163" s="16"/>
      <c r="Y163" s="16"/>
    </row>
    <row r="164" ht="15.75" customHeight="1">
      <c r="X164" s="16"/>
      <c r="Y164" s="16"/>
    </row>
    <row r="165" ht="15.75" customHeight="1">
      <c r="X165" s="16"/>
      <c r="Y165" s="16"/>
    </row>
    <row r="166" ht="15.75" customHeight="1">
      <c r="X166" s="16"/>
      <c r="Y166" s="16"/>
    </row>
    <row r="167" ht="15.75" customHeight="1">
      <c r="X167" s="16"/>
      <c r="Y167" s="16"/>
    </row>
    <row r="168" ht="15.75" customHeight="1">
      <c r="X168" s="16"/>
      <c r="Y168" s="16"/>
    </row>
    <row r="169" ht="15.75" customHeight="1">
      <c r="X169" s="16"/>
      <c r="Y169" s="16"/>
    </row>
    <row r="170" ht="15.75" customHeight="1">
      <c r="X170" s="16"/>
      <c r="Y170" s="16"/>
    </row>
    <row r="171" ht="15.75" customHeight="1">
      <c r="X171" s="16"/>
      <c r="Y171" s="16"/>
    </row>
    <row r="172" ht="15.75" customHeight="1">
      <c r="X172" s="16"/>
      <c r="Y172" s="16"/>
    </row>
    <row r="173" ht="15.75" customHeight="1">
      <c r="X173" s="16"/>
      <c r="Y173" s="16"/>
    </row>
    <row r="174" ht="15.75" customHeight="1">
      <c r="X174" s="16"/>
      <c r="Y174" s="16"/>
    </row>
    <row r="175" ht="15.75" customHeight="1">
      <c r="X175" s="16"/>
      <c r="Y175" s="16"/>
    </row>
    <row r="176" ht="15.75" customHeight="1">
      <c r="X176" s="16"/>
      <c r="Y176" s="16"/>
    </row>
    <row r="177" ht="15.75" customHeight="1">
      <c r="X177" s="16"/>
      <c r="Y177" s="16"/>
    </row>
    <row r="178" ht="15.75" customHeight="1">
      <c r="X178" s="16"/>
      <c r="Y178" s="16"/>
    </row>
    <row r="179" ht="15.75" customHeight="1">
      <c r="X179" s="16"/>
      <c r="Y179" s="16"/>
    </row>
    <row r="180" ht="15.75" customHeight="1">
      <c r="X180" s="16"/>
      <c r="Y180" s="16"/>
    </row>
    <row r="181" ht="15.75" customHeight="1">
      <c r="X181" s="16"/>
      <c r="Y181" s="16"/>
    </row>
    <row r="182" ht="15.75" customHeight="1">
      <c r="X182" s="16"/>
      <c r="Y182" s="16"/>
    </row>
    <row r="183" ht="15.75" customHeight="1">
      <c r="X183" s="16"/>
      <c r="Y183" s="16"/>
    </row>
    <row r="184" ht="15.75" customHeight="1">
      <c r="X184" s="16"/>
      <c r="Y184" s="16"/>
    </row>
    <row r="185" ht="15.75" customHeight="1">
      <c r="X185" s="16"/>
      <c r="Y185" s="16"/>
    </row>
    <row r="186" ht="15.75" customHeight="1">
      <c r="X186" s="16"/>
      <c r="Y186" s="16"/>
    </row>
    <row r="187" ht="15.75" customHeight="1">
      <c r="X187" s="16"/>
      <c r="Y187" s="16"/>
    </row>
    <row r="188" ht="15.75" customHeight="1">
      <c r="X188" s="16"/>
      <c r="Y188" s="16"/>
    </row>
    <row r="189" ht="15.75" customHeight="1">
      <c r="X189" s="16"/>
      <c r="Y189" s="16"/>
    </row>
    <row r="190" ht="15.75" customHeight="1">
      <c r="X190" s="16"/>
      <c r="Y190" s="16"/>
    </row>
    <row r="191" ht="15.75" customHeight="1">
      <c r="X191" s="16"/>
      <c r="Y191" s="16"/>
    </row>
    <row r="192" ht="15.75" customHeight="1">
      <c r="X192" s="16"/>
      <c r="Y192" s="16"/>
    </row>
    <row r="193" ht="15.75" customHeight="1">
      <c r="X193" s="16"/>
      <c r="Y193" s="16"/>
    </row>
    <row r="194" ht="15.75" customHeight="1">
      <c r="X194" s="16"/>
      <c r="Y194" s="16"/>
    </row>
    <row r="195" ht="15.75" customHeight="1">
      <c r="X195" s="16"/>
      <c r="Y195" s="16"/>
    </row>
    <row r="196" ht="15.75" customHeight="1">
      <c r="X196" s="16"/>
      <c r="Y196" s="16"/>
    </row>
    <row r="197" ht="15.75" customHeight="1">
      <c r="X197" s="16"/>
      <c r="Y197" s="16"/>
    </row>
    <row r="198" ht="15.75" customHeight="1">
      <c r="X198" s="16"/>
      <c r="Y198" s="16"/>
    </row>
    <row r="199" ht="15.75" customHeight="1">
      <c r="X199" s="16"/>
      <c r="Y199" s="16"/>
    </row>
    <row r="200" ht="15.75" customHeight="1">
      <c r="X200" s="16"/>
      <c r="Y200" s="16"/>
    </row>
    <row r="201" ht="15.75" customHeight="1">
      <c r="X201" s="16"/>
      <c r="Y201" s="16"/>
    </row>
    <row r="202" ht="15.75" customHeight="1">
      <c r="X202" s="16"/>
      <c r="Y202" s="16"/>
    </row>
    <row r="203" ht="15.75" customHeight="1">
      <c r="X203" s="16"/>
      <c r="Y203" s="16"/>
    </row>
    <row r="204" ht="15.75" customHeight="1">
      <c r="X204" s="16"/>
      <c r="Y204" s="16"/>
    </row>
    <row r="205" ht="15.75" customHeight="1">
      <c r="X205" s="16"/>
      <c r="Y205" s="16"/>
    </row>
    <row r="206" ht="15.75" customHeight="1">
      <c r="X206" s="16"/>
      <c r="Y206" s="16"/>
    </row>
    <row r="207" ht="15.75" customHeight="1">
      <c r="X207" s="16"/>
      <c r="Y207" s="16"/>
    </row>
    <row r="208" ht="15.75" customHeight="1">
      <c r="X208" s="16"/>
      <c r="Y208" s="16"/>
    </row>
    <row r="209" ht="15.75" customHeight="1">
      <c r="X209" s="16"/>
      <c r="Y209" s="16"/>
    </row>
    <row r="210" ht="15.75" customHeight="1">
      <c r="X210" s="16"/>
      <c r="Y210" s="16"/>
    </row>
    <row r="211" ht="15.75" customHeight="1">
      <c r="X211" s="16"/>
      <c r="Y211" s="16"/>
    </row>
    <row r="212" ht="15.75" customHeight="1">
      <c r="X212" s="16"/>
      <c r="Y212" s="16"/>
    </row>
    <row r="213" ht="15.75" customHeight="1">
      <c r="X213" s="16"/>
      <c r="Y213" s="16"/>
    </row>
    <row r="214" ht="15.75" customHeight="1">
      <c r="X214" s="16"/>
      <c r="Y214" s="16"/>
    </row>
    <row r="215" ht="15.75" customHeight="1">
      <c r="X215" s="16"/>
      <c r="Y215" s="16"/>
    </row>
    <row r="216" ht="15.75" customHeight="1">
      <c r="X216" s="16"/>
      <c r="Y216" s="16"/>
    </row>
    <row r="217" ht="15.75" customHeight="1">
      <c r="X217" s="16"/>
      <c r="Y217" s="16"/>
    </row>
    <row r="218" ht="15.75" customHeight="1">
      <c r="X218" s="16"/>
      <c r="Y218" s="16"/>
    </row>
    <row r="219" ht="15.75" customHeight="1">
      <c r="X219" s="16"/>
      <c r="Y219" s="16"/>
    </row>
    <row r="220" ht="15.75" customHeight="1">
      <c r="X220" s="16"/>
      <c r="Y220" s="16"/>
    </row>
    <row r="221" ht="15.75" customHeight="1">
      <c r="X221" s="16"/>
      <c r="Y221" s="16"/>
    </row>
    <row r="222" ht="15.75" customHeight="1">
      <c r="X222" s="16"/>
      <c r="Y222" s="16"/>
    </row>
    <row r="223" ht="15.75" customHeight="1">
      <c r="X223" s="16"/>
      <c r="Y223" s="16"/>
    </row>
    <row r="224" ht="15.75" customHeight="1">
      <c r="X224" s="16"/>
      <c r="Y224" s="16"/>
    </row>
    <row r="225" ht="15.75" customHeight="1">
      <c r="X225" s="16"/>
      <c r="Y225" s="16"/>
    </row>
    <row r="226" ht="15.75" customHeight="1">
      <c r="X226" s="16"/>
      <c r="Y226" s="16"/>
    </row>
    <row r="227" ht="15.75" customHeight="1">
      <c r="X227" s="16"/>
      <c r="Y227" s="16"/>
    </row>
    <row r="228" ht="15.75" customHeight="1">
      <c r="X228" s="16"/>
      <c r="Y228" s="16"/>
    </row>
    <row r="229" ht="15.75" customHeight="1">
      <c r="X229" s="16"/>
      <c r="Y229" s="16"/>
    </row>
    <row r="230" ht="15.75" customHeight="1">
      <c r="X230" s="16"/>
      <c r="Y230" s="16"/>
    </row>
    <row r="231" ht="15.75" customHeight="1">
      <c r="X231" s="16"/>
      <c r="Y231" s="16"/>
    </row>
    <row r="232" ht="15.75" customHeight="1">
      <c r="X232" s="16"/>
      <c r="Y232" s="16"/>
    </row>
    <row r="233" ht="15.75" customHeight="1">
      <c r="X233" s="16"/>
      <c r="Y233" s="16"/>
    </row>
    <row r="234" ht="15.75" customHeight="1">
      <c r="X234" s="16"/>
      <c r="Y234" s="16"/>
    </row>
    <row r="235" ht="15.75" customHeight="1">
      <c r="X235" s="16"/>
      <c r="Y235" s="16"/>
    </row>
    <row r="236" ht="15.75" customHeight="1">
      <c r="X236" s="16"/>
      <c r="Y236" s="16"/>
    </row>
    <row r="237" ht="15.75" customHeight="1">
      <c r="X237" s="16"/>
      <c r="Y237" s="16"/>
    </row>
    <row r="238" ht="15.75" customHeight="1">
      <c r="X238" s="16"/>
      <c r="Y238" s="16"/>
    </row>
    <row r="239" ht="15.75" customHeight="1">
      <c r="X239" s="16"/>
      <c r="Y239" s="16"/>
    </row>
    <row r="240" ht="15.75" customHeight="1">
      <c r="X240" s="16"/>
      <c r="Y240" s="16"/>
    </row>
    <row r="241" ht="15.75" customHeight="1">
      <c r="X241" s="16"/>
      <c r="Y241" s="16"/>
    </row>
    <row r="242" ht="15.75" customHeight="1">
      <c r="X242" s="16"/>
      <c r="Y242" s="16"/>
    </row>
    <row r="243" ht="15.75" customHeight="1">
      <c r="X243" s="16"/>
      <c r="Y243" s="16"/>
    </row>
    <row r="244" ht="15.75" customHeight="1">
      <c r="X244" s="16"/>
      <c r="Y244" s="16"/>
    </row>
    <row r="245" ht="15.75" customHeight="1">
      <c r="X245" s="16"/>
      <c r="Y245" s="16"/>
    </row>
    <row r="246" ht="15.75" customHeight="1">
      <c r="X246" s="16"/>
      <c r="Y246" s="16"/>
    </row>
    <row r="247" ht="15.75" customHeight="1">
      <c r="X247" s="16"/>
      <c r="Y247" s="16"/>
    </row>
    <row r="248" ht="15.75" customHeight="1">
      <c r="X248" s="16"/>
      <c r="Y248" s="16"/>
    </row>
    <row r="249" ht="15.75" customHeight="1">
      <c r="X249" s="16"/>
      <c r="Y249" s="16"/>
    </row>
    <row r="250" ht="15.75" customHeight="1">
      <c r="X250" s="16"/>
      <c r="Y250" s="16"/>
    </row>
    <row r="251" ht="15.75" customHeight="1">
      <c r="X251" s="16"/>
      <c r="Y251" s="16"/>
    </row>
    <row r="252" ht="15.75" customHeight="1">
      <c r="X252" s="16"/>
      <c r="Y252" s="16"/>
    </row>
    <row r="253" ht="15.75" customHeight="1">
      <c r="X253" s="16"/>
      <c r="Y253" s="16"/>
    </row>
    <row r="254" ht="15.75" customHeight="1">
      <c r="X254" s="16"/>
      <c r="Y254" s="16"/>
    </row>
    <row r="255" ht="15.75" customHeight="1">
      <c r="X255" s="16"/>
      <c r="Y255" s="16"/>
    </row>
    <row r="256" ht="15.75" customHeight="1">
      <c r="X256" s="16"/>
      <c r="Y256" s="16"/>
    </row>
    <row r="257" ht="15.75" customHeight="1">
      <c r="X257" s="16"/>
      <c r="Y257" s="16"/>
    </row>
    <row r="258" ht="15.75" customHeight="1">
      <c r="X258" s="16"/>
      <c r="Y258" s="16"/>
    </row>
    <row r="259" ht="15.75" customHeight="1">
      <c r="X259" s="16"/>
      <c r="Y259" s="16"/>
    </row>
    <row r="260" ht="15.75" customHeight="1">
      <c r="X260" s="16"/>
      <c r="Y260" s="16"/>
    </row>
    <row r="261" ht="15.75" customHeight="1">
      <c r="X261" s="16"/>
      <c r="Y261" s="16"/>
    </row>
    <row r="262" ht="15.75" customHeight="1">
      <c r="X262" s="16"/>
      <c r="Y262" s="16"/>
    </row>
    <row r="263" ht="15.75" customHeight="1">
      <c r="X263" s="16"/>
      <c r="Y263" s="16"/>
    </row>
    <row r="264" ht="15.75" customHeight="1">
      <c r="X264" s="16"/>
      <c r="Y264" s="16"/>
    </row>
    <row r="265" ht="15.75" customHeight="1">
      <c r="X265" s="16"/>
      <c r="Y265" s="16"/>
    </row>
    <row r="266" ht="15.75" customHeight="1">
      <c r="X266" s="16"/>
      <c r="Y266" s="16"/>
    </row>
    <row r="267" ht="15.75" customHeight="1">
      <c r="X267" s="16"/>
      <c r="Y267" s="16"/>
    </row>
    <row r="268" ht="15.75" customHeight="1">
      <c r="X268" s="16"/>
      <c r="Y268" s="16"/>
    </row>
    <row r="269" ht="15.75" customHeight="1">
      <c r="X269" s="16"/>
      <c r="Y269" s="16"/>
    </row>
    <row r="270" ht="15.75" customHeight="1">
      <c r="X270" s="16"/>
      <c r="Y270" s="16"/>
    </row>
    <row r="271" ht="15.75" customHeight="1">
      <c r="X271" s="16"/>
      <c r="Y271" s="16"/>
    </row>
    <row r="272" ht="15.75" customHeight="1">
      <c r="X272" s="16"/>
      <c r="Y272" s="16"/>
    </row>
    <row r="273" ht="15.75" customHeight="1">
      <c r="X273" s="16"/>
      <c r="Y273" s="16"/>
    </row>
    <row r="274" ht="15.75" customHeight="1">
      <c r="X274" s="16"/>
      <c r="Y274" s="16"/>
    </row>
    <row r="275" ht="15.75" customHeight="1">
      <c r="X275" s="16"/>
      <c r="Y275" s="16"/>
    </row>
    <row r="276" ht="15.75" customHeight="1">
      <c r="X276" s="16"/>
      <c r="Y276" s="16"/>
    </row>
    <row r="277" ht="15.75" customHeight="1">
      <c r="X277" s="16"/>
      <c r="Y277" s="16"/>
    </row>
    <row r="278" ht="15.75" customHeight="1">
      <c r="X278" s="16"/>
      <c r="Y278" s="16"/>
    </row>
    <row r="279" ht="15.75" customHeight="1">
      <c r="X279" s="16"/>
      <c r="Y279" s="16"/>
    </row>
    <row r="280" ht="15.75" customHeight="1">
      <c r="X280" s="16"/>
      <c r="Y280" s="16"/>
    </row>
    <row r="281" ht="15.75" customHeight="1">
      <c r="X281" s="16"/>
      <c r="Y281" s="16"/>
    </row>
    <row r="282" ht="15.75" customHeight="1">
      <c r="X282" s="16"/>
      <c r="Y282" s="16"/>
    </row>
    <row r="283" ht="15.75" customHeight="1">
      <c r="X283" s="16"/>
      <c r="Y283" s="16"/>
    </row>
    <row r="284" ht="15.75" customHeight="1">
      <c r="X284" s="16"/>
      <c r="Y284" s="16"/>
    </row>
    <row r="285" ht="15.75" customHeight="1">
      <c r="X285" s="16"/>
      <c r="Y285" s="16"/>
    </row>
    <row r="286" ht="15.75" customHeight="1">
      <c r="X286" s="16"/>
      <c r="Y286" s="16"/>
    </row>
    <row r="287" ht="15.75" customHeight="1">
      <c r="X287" s="16"/>
      <c r="Y287" s="16"/>
    </row>
    <row r="288" ht="15.75" customHeight="1">
      <c r="X288" s="16"/>
      <c r="Y288" s="16"/>
    </row>
    <row r="289" ht="15.75" customHeight="1">
      <c r="X289" s="16"/>
      <c r="Y289" s="16"/>
    </row>
    <row r="290" ht="15.75" customHeight="1">
      <c r="X290" s="16"/>
      <c r="Y290" s="16"/>
    </row>
    <row r="291" ht="15.75" customHeight="1">
      <c r="X291" s="16"/>
      <c r="Y291" s="16"/>
    </row>
    <row r="292" ht="15.75" customHeight="1">
      <c r="X292" s="16"/>
      <c r="Y292" s="16"/>
    </row>
    <row r="293" ht="15.75" customHeight="1">
      <c r="X293" s="16"/>
      <c r="Y293" s="16"/>
    </row>
    <row r="294" ht="15.75" customHeight="1">
      <c r="X294" s="16"/>
      <c r="Y294" s="16"/>
    </row>
    <row r="295" ht="15.75" customHeight="1">
      <c r="X295" s="16"/>
      <c r="Y295" s="16"/>
    </row>
    <row r="296" ht="15.75" customHeight="1">
      <c r="X296" s="16"/>
      <c r="Y296" s="16"/>
    </row>
    <row r="297" ht="15.75" customHeight="1">
      <c r="X297" s="16"/>
      <c r="Y297" s="16"/>
    </row>
    <row r="298" ht="15.75" customHeight="1">
      <c r="X298" s="16"/>
      <c r="Y298" s="16"/>
    </row>
    <row r="299" ht="15.75" customHeight="1">
      <c r="X299" s="16"/>
      <c r="Y299" s="16"/>
    </row>
    <row r="300" ht="15.75" customHeight="1">
      <c r="X300" s="16"/>
      <c r="Y300" s="16"/>
    </row>
    <row r="301" ht="15.75" customHeight="1">
      <c r="X301" s="16"/>
      <c r="Y301" s="16"/>
    </row>
    <row r="302" ht="15.75" customHeight="1">
      <c r="X302" s="16"/>
      <c r="Y302" s="16"/>
    </row>
    <row r="303" ht="15.75" customHeight="1">
      <c r="X303" s="16"/>
      <c r="Y303" s="16"/>
    </row>
    <row r="304" ht="15.75" customHeight="1">
      <c r="X304" s="16"/>
      <c r="Y304" s="16"/>
    </row>
    <row r="305" ht="15.75" customHeight="1">
      <c r="X305" s="16"/>
      <c r="Y305" s="16"/>
    </row>
    <row r="306" ht="15.75" customHeight="1">
      <c r="X306" s="16"/>
      <c r="Y306" s="16"/>
    </row>
    <row r="307" ht="15.75" customHeight="1">
      <c r="X307" s="16"/>
      <c r="Y307" s="16"/>
    </row>
    <row r="308" ht="15.75" customHeight="1">
      <c r="X308" s="16"/>
      <c r="Y308" s="16"/>
    </row>
    <row r="309" ht="15.75" customHeight="1">
      <c r="X309" s="16"/>
      <c r="Y309" s="16"/>
    </row>
    <row r="310" ht="15.75" customHeight="1">
      <c r="X310" s="16"/>
      <c r="Y310" s="16"/>
    </row>
    <row r="311" ht="15.75" customHeight="1">
      <c r="X311" s="16"/>
      <c r="Y311" s="16"/>
    </row>
    <row r="312" ht="15.75" customHeight="1">
      <c r="X312" s="16"/>
      <c r="Y312" s="16"/>
    </row>
    <row r="313" ht="15.75" customHeight="1">
      <c r="X313" s="16"/>
      <c r="Y313" s="16"/>
    </row>
    <row r="314" ht="15.75" customHeight="1">
      <c r="X314" s="16"/>
      <c r="Y314" s="16"/>
    </row>
    <row r="315" ht="15.75" customHeight="1">
      <c r="X315" s="16"/>
      <c r="Y315" s="16"/>
    </row>
    <row r="316" ht="15.75" customHeight="1">
      <c r="X316" s="16"/>
      <c r="Y316" s="16"/>
    </row>
    <row r="317" ht="15.75" customHeight="1">
      <c r="X317" s="16"/>
      <c r="Y317" s="16"/>
    </row>
    <row r="318" ht="15.75" customHeight="1">
      <c r="X318" s="16"/>
      <c r="Y318" s="16"/>
    </row>
    <row r="319" ht="15.75" customHeight="1">
      <c r="X319" s="16"/>
      <c r="Y319" s="16"/>
    </row>
    <row r="320" ht="15.75" customHeight="1">
      <c r="X320" s="16"/>
      <c r="Y320" s="16"/>
    </row>
    <row r="321" ht="15.75" customHeight="1">
      <c r="X321" s="16"/>
      <c r="Y321" s="16"/>
    </row>
    <row r="322" ht="15.75" customHeight="1">
      <c r="X322" s="16"/>
      <c r="Y322" s="16"/>
    </row>
    <row r="323" ht="15.75" customHeight="1">
      <c r="X323" s="16"/>
      <c r="Y323" s="16"/>
    </row>
    <row r="324" ht="15.75" customHeight="1">
      <c r="X324" s="16"/>
      <c r="Y324" s="16"/>
    </row>
    <row r="325" ht="15.75" customHeight="1">
      <c r="X325" s="16"/>
      <c r="Y325" s="16"/>
    </row>
    <row r="326" ht="15.75" customHeight="1">
      <c r="X326" s="16"/>
      <c r="Y326" s="16"/>
    </row>
    <row r="327" ht="15.75" customHeight="1">
      <c r="X327" s="16"/>
      <c r="Y327" s="16"/>
    </row>
    <row r="328" ht="15.75" customHeight="1">
      <c r="X328" s="16"/>
      <c r="Y328" s="16"/>
    </row>
    <row r="329" ht="15.75" customHeight="1">
      <c r="X329" s="16"/>
      <c r="Y329" s="16"/>
    </row>
    <row r="330" ht="15.75" customHeight="1">
      <c r="X330" s="16"/>
      <c r="Y330" s="16"/>
    </row>
    <row r="331" ht="15.75" customHeight="1">
      <c r="X331" s="16"/>
      <c r="Y331" s="16"/>
    </row>
    <row r="332" ht="15.75" customHeight="1">
      <c r="X332" s="16"/>
      <c r="Y332" s="16"/>
    </row>
    <row r="333" ht="15.75" customHeight="1">
      <c r="X333" s="16"/>
      <c r="Y333" s="16"/>
    </row>
    <row r="334" ht="15.75" customHeight="1">
      <c r="X334" s="16"/>
      <c r="Y334" s="16"/>
    </row>
    <row r="335" ht="15.75" customHeight="1">
      <c r="X335" s="16"/>
      <c r="Y335" s="16"/>
    </row>
    <row r="336" ht="15.75" customHeight="1">
      <c r="X336" s="16"/>
      <c r="Y336" s="16"/>
    </row>
    <row r="337" ht="15.75" customHeight="1">
      <c r="X337" s="16"/>
      <c r="Y337" s="16"/>
    </row>
    <row r="338" ht="15.75" customHeight="1">
      <c r="X338" s="16"/>
      <c r="Y338" s="16"/>
    </row>
    <row r="339" ht="15.75" customHeight="1">
      <c r="X339" s="16"/>
      <c r="Y339" s="16"/>
    </row>
    <row r="340" ht="15.75" customHeight="1">
      <c r="X340" s="16"/>
      <c r="Y340" s="16"/>
    </row>
    <row r="341" ht="15.75" customHeight="1">
      <c r="X341" s="16"/>
      <c r="Y341" s="16"/>
    </row>
    <row r="342" ht="15.75" customHeight="1">
      <c r="X342" s="16"/>
      <c r="Y342" s="16"/>
    </row>
    <row r="343" ht="15.75" customHeight="1">
      <c r="X343" s="16"/>
      <c r="Y343" s="16"/>
    </row>
    <row r="344" ht="15.75" customHeight="1">
      <c r="X344" s="16"/>
      <c r="Y344" s="16"/>
    </row>
    <row r="345" ht="15.75" customHeight="1">
      <c r="X345" s="16"/>
      <c r="Y345" s="16"/>
    </row>
    <row r="346" ht="15.75" customHeight="1">
      <c r="X346" s="16"/>
      <c r="Y346" s="16"/>
    </row>
    <row r="347" ht="15.75" customHeight="1">
      <c r="X347" s="16"/>
      <c r="Y347" s="16"/>
    </row>
    <row r="348" ht="15.75" customHeight="1">
      <c r="X348" s="16"/>
      <c r="Y348" s="16"/>
    </row>
    <row r="349" ht="15.75" customHeight="1">
      <c r="X349" s="16"/>
      <c r="Y349" s="16"/>
    </row>
    <row r="350" ht="15.75" customHeight="1">
      <c r="X350" s="16"/>
      <c r="Y350" s="16"/>
    </row>
    <row r="351" ht="15.75" customHeight="1">
      <c r="X351" s="16"/>
      <c r="Y351" s="16"/>
    </row>
    <row r="352" ht="15.75" customHeight="1">
      <c r="X352" s="16"/>
      <c r="Y352" s="16"/>
    </row>
    <row r="353" ht="15.75" customHeight="1">
      <c r="X353" s="16"/>
      <c r="Y353" s="16"/>
    </row>
    <row r="354" ht="15.75" customHeight="1">
      <c r="X354" s="16"/>
      <c r="Y354" s="16"/>
    </row>
    <row r="355" ht="15.75" customHeight="1">
      <c r="X355" s="16"/>
      <c r="Y355" s="16"/>
    </row>
    <row r="356" ht="15.75" customHeight="1">
      <c r="X356" s="16"/>
      <c r="Y356" s="16"/>
    </row>
    <row r="357" ht="15.75" customHeight="1">
      <c r="X357" s="16"/>
      <c r="Y357" s="16"/>
    </row>
    <row r="358" ht="15.75" customHeight="1">
      <c r="X358" s="16"/>
      <c r="Y358" s="16"/>
    </row>
    <row r="359" ht="15.75" customHeight="1">
      <c r="X359" s="16"/>
      <c r="Y359" s="16"/>
    </row>
    <row r="360" ht="15.75" customHeight="1">
      <c r="X360" s="16"/>
      <c r="Y360" s="16"/>
    </row>
    <row r="361" ht="15.75" customHeight="1">
      <c r="X361" s="16"/>
      <c r="Y361" s="16"/>
    </row>
    <row r="362" ht="15.75" customHeight="1">
      <c r="X362" s="16"/>
      <c r="Y362" s="16"/>
    </row>
    <row r="363" ht="15.75" customHeight="1">
      <c r="X363" s="16"/>
      <c r="Y363" s="16"/>
    </row>
    <row r="364" ht="15.75" customHeight="1">
      <c r="X364" s="16"/>
      <c r="Y364" s="16"/>
    </row>
    <row r="365" ht="15.75" customHeight="1">
      <c r="X365" s="16"/>
      <c r="Y365" s="16"/>
    </row>
    <row r="366" ht="15.75" customHeight="1">
      <c r="X366" s="16"/>
      <c r="Y366" s="16"/>
    </row>
    <row r="367" ht="15.75" customHeight="1">
      <c r="X367" s="16"/>
      <c r="Y367" s="16"/>
    </row>
    <row r="368" ht="15.75" customHeight="1">
      <c r="X368" s="16"/>
      <c r="Y368" s="16"/>
    </row>
    <row r="369" ht="15.75" customHeight="1">
      <c r="X369" s="16"/>
      <c r="Y369" s="16"/>
    </row>
    <row r="370" ht="15.75" customHeight="1">
      <c r="X370" s="16"/>
      <c r="Y370" s="16"/>
    </row>
    <row r="371" ht="15.75" customHeight="1">
      <c r="X371" s="16"/>
      <c r="Y371" s="16"/>
    </row>
    <row r="372" ht="15.75" customHeight="1">
      <c r="X372" s="16"/>
      <c r="Y372" s="16"/>
    </row>
    <row r="373" ht="15.75" customHeight="1">
      <c r="X373" s="16"/>
      <c r="Y373" s="16"/>
    </row>
    <row r="374" ht="15.75" customHeight="1">
      <c r="X374" s="16"/>
      <c r="Y374" s="16"/>
    </row>
    <row r="375" ht="15.75" customHeight="1">
      <c r="X375" s="16"/>
      <c r="Y375" s="16"/>
    </row>
    <row r="376" ht="15.75" customHeight="1">
      <c r="X376" s="16"/>
      <c r="Y376" s="16"/>
    </row>
    <row r="377" ht="15.75" customHeight="1">
      <c r="X377" s="16"/>
      <c r="Y377" s="16"/>
    </row>
    <row r="378" ht="15.75" customHeight="1">
      <c r="X378" s="16"/>
      <c r="Y378" s="16"/>
    </row>
    <row r="379" ht="15.75" customHeight="1">
      <c r="X379" s="16"/>
      <c r="Y379" s="16"/>
    </row>
    <row r="380" ht="15.75" customHeight="1">
      <c r="X380" s="16"/>
      <c r="Y380" s="16"/>
    </row>
    <row r="381" ht="15.75" customHeight="1">
      <c r="X381" s="16"/>
      <c r="Y381" s="16"/>
    </row>
    <row r="382" ht="15.75" customHeight="1">
      <c r="X382" s="16"/>
      <c r="Y382" s="16"/>
    </row>
    <row r="383" ht="15.75" customHeight="1">
      <c r="X383" s="16"/>
      <c r="Y383" s="16"/>
    </row>
    <row r="384" ht="15.75" customHeight="1">
      <c r="X384" s="16"/>
      <c r="Y384" s="16"/>
    </row>
    <row r="385" ht="15.75" customHeight="1">
      <c r="X385" s="16"/>
      <c r="Y385" s="16"/>
    </row>
    <row r="386" ht="15.75" customHeight="1">
      <c r="X386" s="16"/>
      <c r="Y386" s="16"/>
    </row>
    <row r="387" ht="15.75" customHeight="1">
      <c r="X387" s="16"/>
      <c r="Y387" s="16"/>
    </row>
    <row r="388" ht="15.75" customHeight="1">
      <c r="X388" s="16"/>
      <c r="Y388" s="16"/>
    </row>
    <row r="389" ht="15.75" customHeight="1">
      <c r="X389" s="16"/>
      <c r="Y389" s="16"/>
    </row>
    <row r="390" ht="15.75" customHeight="1">
      <c r="X390" s="16"/>
      <c r="Y390" s="16"/>
    </row>
    <row r="391" ht="15.75" customHeight="1">
      <c r="X391" s="16"/>
      <c r="Y391" s="16"/>
    </row>
    <row r="392" ht="15.75" customHeight="1">
      <c r="X392" s="16"/>
      <c r="Y392" s="16"/>
    </row>
    <row r="393" ht="15.75" customHeight="1">
      <c r="X393" s="16"/>
      <c r="Y393" s="16"/>
    </row>
    <row r="394" ht="15.75" customHeight="1">
      <c r="X394" s="16"/>
      <c r="Y394" s="16"/>
    </row>
    <row r="395" ht="15.75" customHeight="1">
      <c r="X395" s="16"/>
      <c r="Y395" s="16"/>
    </row>
    <row r="396" ht="15.75" customHeight="1">
      <c r="X396" s="16"/>
      <c r="Y396" s="16"/>
    </row>
    <row r="397" ht="15.75" customHeight="1">
      <c r="X397" s="16"/>
      <c r="Y397" s="16"/>
    </row>
    <row r="398" ht="15.75" customHeight="1">
      <c r="X398" s="16"/>
      <c r="Y398" s="16"/>
    </row>
    <row r="399" ht="15.75" customHeight="1">
      <c r="X399" s="16"/>
      <c r="Y399" s="16"/>
    </row>
    <row r="400" ht="15.75" customHeight="1">
      <c r="X400" s="16"/>
      <c r="Y400" s="16"/>
    </row>
    <row r="401" ht="15.75" customHeight="1">
      <c r="X401" s="16"/>
      <c r="Y401" s="16"/>
    </row>
    <row r="402" ht="15.75" customHeight="1">
      <c r="X402" s="16"/>
      <c r="Y402" s="16"/>
    </row>
    <row r="403" ht="15.75" customHeight="1">
      <c r="X403" s="16"/>
      <c r="Y403" s="16"/>
    </row>
    <row r="404" ht="15.75" customHeight="1">
      <c r="X404" s="16"/>
      <c r="Y404" s="16"/>
    </row>
    <row r="405" ht="15.75" customHeight="1">
      <c r="X405" s="16"/>
      <c r="Y405" s="16"/>
    </row>
    <row r="406" ht="15.75" customHeight="1">
      <c r="X406" s="16"/>
      <c r="Y406" s="16"/>
    </row>
    <row r="407" ht="15.75" customHeight="1">
      <c r="X407" s="16"/>
      <c r="Y407" s="16"/>
    </row>
    <row r="408" ht="15.75" customHeight="1">
      <c r="X408" s="16"/>
      <c r="Y408" s="16"/>
    </row>
    <row r="409" ht="15.75" customHeight="1">
      <c r="X409" s="16"/>
      <c r="Y409" s="16"/>
    </row>
    <row r="410" ht="15.75" customHeight="1">
      <c r="X410" s="16"/>
      <c r="Y410" s="16"/>
    </row>
    <row r="411" ht="15.75" customHeight="1">
      <c r="X411" s="16"/>
      <c r="Y411" s="16"/>
    </row>
    <row r="412" ht="15.75" customHeight="1">
      <c r="X412" s="16"/>
      <c r="Y412" s="16"/>
    </row>
    <row r="413" ht="15.75" customHeight="1">
      <c r="X413" s="16"/>
      <c r="Y413" s="16"/>
    </row>
    <row r="414" ht="15.75" customHeight="1">
      <c r="X414" s="16"/>
      <c r="Y414" s="16"/>
    </row>
    <row r="415" ht="15.75" customHeight="1">
      <c r="X415" s="16"/>
      <c r="Y415" s="16"/>
    </row>
    <row r="416" ht="15.75" customHeight="1">
      <c r="X416" s="16"/>
      <c r="Y416" s="16"/>
    </row>
    <row r="417" ht="15.75" customHeight="1">
      <c r="X417" s="16"/>
      <c r="Y417" s="16"/>
    </row>
    <row r="418" ht="15.75" customHeight="1">
      <c r="X418" s="16"/>
      <c r="Y418" s="16"/>
    </row>
    <row r="419" ht="15.75" customHeight="1">
      <c r="X419" s="16"/>
      <c r="Y419" s="16"/>
    </row>
    <row r="420" ht="15.75" customHeight="1">
      <c r="X420" s="16"/>
      <c r="Y420" s="16"/>
    </row>
    <row r="421" ht="15.75" customHeight="1">
      <c r="X421" s="16"/>
      <c r="Y421" s="16"/>
    </row>
    <row r="422" ht="15.75" customHeight="1">
      <c r="X422" s="16"/>
      <c r="Y422" s="16"/>
    </row>
    <row r="423" ht="15.75" customHeight="1">
      <c r="X423" s="16"/>
      <c r="Y423" s="16"/>
    </row>
    <row r="424" ht="15.75" customHeight="1">
      <c r="X424" s="16"/>
      <c r="Y424" s="16"/>
    </row>
    <row r="425" ht="15.75" customHeight="1">
      <c r="X425" s="16"/>
      <c r="Y425" s="16"/>
    </row>
    <row r="426" ht="15.75" customHeight="1">
      <c r="X426" s="16"/>
      <c r="Y426" s="16"/>
    </row>
    <row r="427" ht="15.75" customHeight="1">
      <c r="X427" s="16"/>
      <c r="Y427" s="16"/>
    </row>
    <row r="428" ht="15.75" customHeight="1">
      <c r="X428" s="16"/>
      <c r="Y428" s="16"/>
    </row>
    <row r="429" ht="15.75" customHeight="1">
      <c r="X429" s="16"/>
      <c r="Y429" s="16"/>
    </row>
    <row r="430" ht="15.75" customHeight="1">
      <c r="X430" s="16"/>
      <c r="Y430" s="16"/>
    </row>
    <row r="431" ht="15.75" customHeight="1">
      <c r="X431" s="16"/>
      <c r="Y431" s="16"/>
    </row>
    <row r="432" ht="15.75" customHeight="1">
      <c r="X432" s="16"/>
      <c r="Y432" s="16"/>
    </row>
    <row r="433" ht="15.75" customHeight="1">
      <c r="X433" s="16"/>
      <c r="Y433" s="16"/>
    </row>
    <row r="434" ht="15.75" customHeight="1">
      <c r="X434" s="16"/>
      <c r="Y434" s="16"/>
    </row>
    <row r="435" ht="15.75" customHeight="1">
      <c r="X435" s="16"/>
      <c r="Y435" s="16"/>
    </row>
    <row r="436" ht="15.75" customHeight="1">
      <c r="X436" s="16"/>
      <c r="Y436" s="16"/>
    </row>
    <row r="437" ht="15.75" customHeight="1">
      <c r="X437" s="16"/>
      <c r="Y437" s="16"/>
    </row>
    <row r="438" ht="15.75" customHeight="1">
      <c r="X438" s="16"/>
      <c r="Y438" s="16"/>
    </row>
    <row r="439" ht="15.75" customHeight="1">
      <c r="X439" s="16"/>
      <c r="Y439" s="16"/>
    </row>
    <row r="440" ht="15.75" customHeight="1">
      <c r="X440" s="16"/>
      <c r="Y440" s="16"/>
    </row>
    <row r="441" ht="15.75" customHeight="1">
      <c r="X441" s="16"/>
      <c r="Y441" s="16"/>
    </row>
    <row r="442" ht="15.75" customHeight="1">
      <c r="X442" s="16"/>
      <c r="Y442" s="16"/>
    </row>
    <row r="443" ht="15.75" customHeight="1">
      <c r="X443" s="16"/>
      <c r="Y443" s="16"/>
    </row>
    <row r="444" ht="15.75" customHeight="1">
      <c r="X444" s="16"/>
      <c r="Y444" s="16"/>
    </row>
    <row r="445" ht="15.75" customHeight="1">
      <c r="X445" s="16"/>
      <c r="Y445" s="16"/>
    </row>
    <row r="446" ht="15.75" customHeight="1">
      <c r="X446" s="16"/>
      <c r="Y446" s="16"/>
    </row>
    <row r="447" ht="15.75" customHeight="1">
      <c r="X447" s="16"/>
      <c r="Y447" s="16"/>
    </row>
    <row r="448" ht="15.75" customHeight="1">
      <c r="X448" s="16"/>
      <c r="Y448" s="16"/>
    </row>
    <row r="449" ht="15.75" customHeight="1">
      <c r="X449" s="16"/>
      <c r="Y449" s="16"/>
    </row>
    <row r="450" ht="15.75" customHeight="1">
      <c r="X450" s="16"/>
      <c r="Y450" s="16"/>
    </row>
    <row r="451" ht="15.75" customHeight="1">
      <c r="X451" s="16"/>
      <c r="Y451" s="16"/>
    </row>
    <row r="452" ht="15.75" customHeight="1">
      <c r="X452" s="16"/>
      <c r="Y452" s="16"/>
    </row>
    <row r="453" ht="15.75" customHeight="1">
      <c r="X453" s="16"/>
      <c r="Y453" s="16"/>
    </row>
    <row r="454" ht="15.75" customHeight="1">
      <c r="X454" s="16"/>
      <c r="Y454" s="16"/>
    </row>
    <row r="455" ht="15.75" customHeight="1">
      <c r="X455" s="16"/>
      <c r="Y455" s="16"/>
    </row>
    <row r="456" ht="15.75" customHeight="1">
      <c r="X456" s="16"/>
      <c r="Y456" s="16"/>
    </row>
    <row r="457" ht="15.75" customHeight="1">
      <c r="X457" s="16"/>
      <c r="Y457" s="16"/>
    </row>
    <row r="458" ht="15.75" customHeight="1">
      <c r="X458" s="16"/>
      <c r="Y458" s="16"/>
    </row>
    <row r="459" ht="15.75" customHeight="1">
      <c r="X459" s="16"/>
      <c r="Y459" s="16"/>
    </row>
    <row r="460" ht="15.75" customHeight="1">
      <c r="X460" s="16"/>
      <c r="Y460" s="16"/>
    </row>
    <row r="461" ht="15.75" customHeight="1">
      <c r="X461" s="16"/>
      <c r="Y461" s="16"/>
    </row>
    <row r="462" ht="15.75" customHeight="1">
      <c r="X462" s="16"/>
      <c r="Y462" s="16"/>
    </row>
    <row r="463" ht="15.75" customHeight="1">
      <c r="X463" s="16"/>
      <c r="Y463" s="16"/>
    </row>
    <row r="464" ht="15.75" customHeight="1">
      <c r="X464" s="16"/>
      <c r="Y464" s="16"/>
    </row>
    <row r="465" ht="15.75" customHeight="1">
      <c r="X465" s="16"/>
      <c r="Y465" s="16"/>
    </row>
    <row r="466" ht="15.75" customHeight="1">
      <c r="X466" s="16"/>
      <c r="Y466" s="16"/>
    </row>
    <row r="467" ht="15.75" customHeight="1">
      <c r="X467" s="16"/>
      <c r="Y467" s="16"/>
    </row>
    <row r="468" ht="15.75" customHeight="1">
      <c r="X468" s="16"/>
      <c r="Y468" s="16"/>
    </row>
    <row r="469" ht="15.75" customHeight="1">
      <c r="X469" s="16"/>
      <c r="Y469" s="16"/>
    </row>
    <row r="470" ht="15.75" customHeight="1">
      <c r="X470" s="16"/>
      <c r="Y470" s="16"/>
    </row>
    <row r="471" ht="15.75" customHeight="1">
      <c r="X471" s="16"/>
      <c r="Y471" s="16"/>
    </row>
    <row r="472" ht="15.75" customHeight="1">
      <c r="X472" s="16"/>
      <c r="Y472" s="16"/>
    </row>
    <row r="473" ht="15.75" customHeight="1">
      <c r="X473" s="16"/>
      <c r="Y473" s="16"/>
    </row>
    <row r="474" ht="15.75" customHeight="1">
      <c r="X474" s="16"/>
      <c r="Y474" s="16"/>
    </row>
    <row r="475" ht="15.75" customHeight="1">
      <c r="X475" s="16"/>
      <c r="Y475" s="16"/>
    </row>
    <row r="476" ht="15.75" customHeight="1">
      <c r="X476" s="16"/>
      <c r="Y476" s="16"/>
    </row>
    <row r="477" ht="15.75" customHeight="1">
      <c r="X477" s="16"/>
      <c r="Y477" s="16"/>
    </row>
    <row r="478" ht="15.75" customHeight="1">
      <c r="X478" s="16"/>
      <c r="Y478" s="16"/>
    </row>
    <row r="479" ht="15.75" customHeight="1">
      <c r="X479" s="16"/>
      <c r="Y479" s="16"/>
    </row>
    <row r="480" ht="15.75" customHeight="1">
      <c r="X480" s="16"/>
      <c r="Y480" s="16"/>
    </row>
    <row r="481" ht="15.75" customHeight="1">
      <c r="X481" s="16"/>
      <c r="Y481" s="16"/>
    </row>
    <row r="482" ht="15.75" customHeight="1">
      <c r="X482" s="16"/>
      <c r="Y482" s="16"/>
    </row>
    <row r="483" ht="15.75" customHeight="1">
      <c r="X483" s="16"/>
      <c r="Y483" s="16"/>
    </row>
    <row r="484" ht="15.75" customHeight="1">
      <c r="X484" s="16"/>
      <c r="Y484" s="16"/>
    </row>
    <row r="485" ht="15.75" customHeight="1">
      <c r="X485" s="16"/>
      <c r="Y485" s="16"/>
    </row>
    <row r="486" ht="15.75" customHeight="1">
      <c r="X486" s="16"/>
      <c r="Y486" s="16"/>
    </row>
    <row r="487" ht="15.75" customHeight="1">
      <c r="X487" s="16"/>
      <c r="Y487" s="16"/>
    </row>
    <row r="488" ht="15.75" customHeight="1">
      <c r="X488" s="16"/>
      <c r="Y488" s="16"/>
    </row>
    <row r="489" ht="15.75" customHeight="1">
      <c r="X489" s="16"/>
      <c r="Y489" s="16"/>
    </row>
    <row r="490" ht="15.75" customHeight="1">
      <c r="X490" s="16"/>
      <c r="Y490" s="16"/>
    </row>
    <row r="491" ht="15.75" customHeight="1">
      <c r="X491" s="16"/>
      <c r="Y491" s="16"/>
    </row>
    <row r="492" ht="15.75" customHeight="1">
      <c r="X492" s="16"/>
      <c r="Y492" s="16"/>
    </row>
    <row r="493" ht="15.75" customHeight="1">
      <c r="X493" s="16"/>
      <c r="Y493" s="16"/>
    </row>
    <row r="494" ht="15.75" customHeight="1">
      <c r="X494" s="16"/>
      <c r="Y494" s="16"/>
    </row>
    <row r="495" ht="15.75" customHeight="1">
      <c r="X495" s="16"/>
      <c r="Y495" s="16"/>
    </row>
    <row r="496" ht="15.75" customHeight="1">
      <c r="X496" s="16"/>
      <c r="Y496" s="16"/>
    </row>
    <row r="497" ht="15.75" customHeight="1">
      <c r="X497" s="16"/>
      <c r="Y497" s="16"/>
    </row>
    <row r="498" ht="15.75" customHeight="1">
      <c r="X498" s="16"/>
      <c r="Y498" s="16"/>
    </row>
    <row r="499" ht="15.75" customHeight="1">
      <c r="X499" s="16"/>
      <c r="Y499" s="16"/>
    </row>
    <row r="500" ht="15.75" customHeight="1">
      <c r="X500" s="16"/>
      <c r="Y500" s="16"/>
    </row>
    <row r="501" ht="15.75" customHeight="1">
      <c r="X501" s="16"/>
      <c r="Y501" s="16"/>
    </row>
    <row r="502" ht="15.75" customHeight="1">
      <c r="X502" s="16"/>
      <c r="Y502" s="16"/>
    </row>
    <row r="503" ht="15.75" customHeight="1">
      <c r="X503" s="16"/>
      <c r="Y503" s="16"/>
    </row>
    <row r="504" ht="15.75" customHeight="1">
      <c r="X504" s="16"/>
      <c r="Y504" s="16"/>
    </row>
    <row r="505" ht="15.75" customHeight="1">
      <c r="X505" s="16"/>
      <c r="Y505" s="16"/>
    </row>
    <row r="506" ht="15.75" customHeight="1">
      <c r="X506" s="16"/>
      <c r="Y506" s="16"/>
    </row>
    <row r="507" ht="15.75" customHeight="1">
      <c r="X507" s="16"/>
      <c r="Y507" s="16"/>
    </row>
    <row r="508" ht="15.75" customHeight="1">
      <c r="X508" s="16"/>
      <c r="Y508" s="16"/>
    </row>
    <row r="509" ht="15.75" customHeight="1">
      <c r="X509" s="16"/>
      <c r="Y509" s="16"/>
    </row>
    <row r="510" ht="15.75" customHeight="1">
      <c r="X510" s="16"/>
      <c r="Y510" s="16"/>
    </row>
    <row r="511" ht="15.75" customHeight="1">
      <c r="X511" s="16"/>
      <c r="Y511" s="16"/>
    </row>
    <row r="512" ht="15.75" customHeight="1">
      <c r="X512" s="16"/>
      <c r="Y512" s="16"/>
    </row>
    <row r="513" ht="15.75" customHeight="1">
      <c r="X513" s="16"/>
      <c r="Y513" s="16"/>
    </row>
    <row r="514" ht="15.75" customHeight="1">
      <c r="X514" s="16"/>
      <c r="Y514" s="16"/>
    </row>
    <row r="515" ht="15.75" customHeight="1">
      <c r="X515" s="16"/>
      <c r="Y515" s="16"/>
    </row>
    <row r="516" ht="15.75" customHeight="1">
      <c r="X516" s="16"/>
      <c r="Y516" s="16"/>
    </row>
    <row r="517" ht="15.75" customHeight="1">
      <c r="X517" s="16"/>
      <c r="Y517" s="16"/>
    </row>
    <row r="518" ht="15.75" customHeight="1">
      <c r="X518" s="16"/>
      <c r="Y518" s="16"/>
    </row>
    <row r="519" ht="15.75" customHeight="1">
      <c r="X519" s="16"/>
      <c r="Y519" s="16"/>
    </row>
    <row r="520" ht="15.75" customHeight="1">
      <c r="X520" s="16"/>
      <c r="Y520" s="16"/>
    </row>
    <row r="521" ht="15.75" customHeight="1">
      <c r="X521" s="16"/>
      <c r="Y521" s="16"/>
    </row>
    <row r="522" ht="15.75" customHeight="1">
      <c r="X522" s="16"/>
      <c r="Y522" s="16"/>
    </row>
    <row r="523" ht="15.75" customHeight="1">
      <c r="X523" s="16"/>
      <c r="Y523" s="16"/>
    </row>
    <row r="524" ht="15.75" customHeight="1">
      <c r="X524" s="16"/>
      <c r="Y524" s="16"/>
    </row>
    <row r="525" ht="15.75" customHeight="1">
      <c r="X525" s="16"/>
      <c r="Y525" s="16"/>
    </row>
    <row r="526" ht="15.75" customHeight="1">
      <c r="X526" s="16"/>
      <c r="Y526" s="16"/>
    </row>
    <row r="527" ht="15.75" customHeight="1">
      <c r="X527" s="16"/>
      <c r="Y527" s="16"/>
    </row>
    <row r="528" ht="15.75" customHeight="1">
      <c r="X528" s="16"/>
      <c r="Y528" s="16"/>
    </row>
    <row r="529" ht="15.75" customHeight="1">
      <c r="X529" s="16"/>
      <c r="Y529" s="16"/>
    </row>
    <row r="530" ht="15.75" customHeight="1">
      <c r="X530" s="16"/>
      <c r="Y530" s="16"/>
    </row>
    <row r="531" ht="15.75" customHeight="1">
      <c r="X531" s="16"/>
      <c r="Y531" s="16"/>
    </row>
    <row r="532" ht="15.75" customHeight="1">
      <c r="X532" s="16"/>
      <c r="Y532" s="16"/>
    </row>
    <row r="533" ht="15.75" customHeight="1">
      <c r="X533" s="16"/>
      <c r="Y533" s="16"/>
    </row>
    <row r="534" ht="15.75" customHeight="1">
      <c r="X534" s="16"/>
      <c r="Y534" s="16"/>
    </row>
    <row r="535" ht="15.75" customHeight="1">
      <c r="X535" s="16"/>
      <c r="Y535" s="16"/>
    </row>
    <row r="536" ht="15.75" customHeight="1">
      <c r="X536" s="16"/>
      <c r="Y536" s="16"/>
    </row>
    <row r="537" ht="15.75" customHeight="1">
      <c r="X537" s="16"/>
      <c r="Y537" s="16"/>
    </row>
    <row r="538" ht="15.75" customHeight="1">
      <c r="X538" s="16"/>
      <c r="Y538" s="16"/>
    </row>
    <row r="539" ht="15.75" customHeight="1">
      <c r="X539" s="16"/>
      <c r="Y539" s="16"/>
    </row>
    <row r="540" ht="15.75" customHeight="1">
      <c r="X540" s="16"/>
      <c r="Y540" s="16"/>
    </row>
    <row r="541" ht="15.75" customHeight="1">
      <c r="X541" s="16"/>
      <c r="Y541" s="16"/>
    </row>
    <row r="542" ht="15.75" customHeight="1">
      <c r="X542" s="16"/>
      <c r="Y542" s="16"/>
    </row>
    <row r="543" ht="15.75" customHeight="1">
      <c r="X543" s="16"/>
      <c r="Y543" s="16"/>
    </row>
    <row r="544" ht="15.75" customHeight="1">
      <c r="X544" s="16"/>
      <c r="Y544" s="16"/>
    </row>
    <row r="545" ht="15.75" customHeight="1">
      <c r="X545" s="16"/>
      <c r="Y545" s="16"/>
    </row>
    <row r="546" ht="15.75" customHeight="1">
      <c r="X546" s="16"/>
      <c r="Y546" s="16"/>
    </row>
    <row r="547" ht="15.75" customHeight="1">
      <c r="X547" s="16"/>
      <c r="Y547" s="16"/>
    </row>
    <row r="548" ht="15.75" customHeight="1">
      <c r="X548" s="16"/>
      <c r="Y548" s="16"/>
    </row>
    <row r="549" ht="15.75" customHeight="1">
      <c r="X549" s="16"/>
      <c r="Y549" s="16"/>
    </row>
    <row r="550" ht="15.75" customHeight="1">
      <c r="X550" s="16"/>
      <c r="Y550" s="16"/>
    </row>
    <row r="551" ht="15.75" customHeight="1">
      <c r="X551" s="16"/>
      <c r="Y551" s="16"/>
    </row>
    <row r="552" ht="15.75" customHeight="1">
      <c r="X552" s="16"/>
      <c r="Y552" s="16"/>
    </row>
    <row r="553" ht="15.75" customHeight="1">
      <c r="X553" s="16"/>
      <c r="Y553" s="16"/>
    </row>
    <row r="554" ht="15.75" customHeight="1">
      <c r="X554" s="16"/>
      <c r="Y554" s="16"/>
    </row>
    <row r="555" ht="15.75" customHeight="1">
      <c r="X555" s="16"/>
      <c r="Y555" s="16"/>
    </row>
    <row r="556" ht="15.75" customHeight="1">
      <c r="X556" s="16"/>
      <c r="Y556" s="16"/>
    </row>
    <row r="557" ht="15.75" customHeight="1">
      <c r="X557" s="16"/>
      <c r="Y557" s="16"/>
    </row>
    <row r="558" ht="15.75" customHeight="1">
      <c r="X558" s="16"/>
      <c r="Y558" s="16"/>
    </row>
    <row r="559" ht="15.75" customHeight="1">
      <c r="X559" s="16"/>
      <c r="Y559" s="16"/>
    </row>
    <row r="560" ht="15.75" customHeight="1">
      <c r="X560" s="16"/>
      <c r="Y560" s="16"/>
    </row>
    <row r="561" ht="15.75" customHeight="1">
      <c r="X561" s="16"/>
      <c r="Y561" s="16"/>
    </row>
    <row r="562" ht="15.75" customHeight="1">
      <c r="X562" s="16"/>
      <c r="Y562" s="16"/>
    </row>
    <row r="563" ht="15.75" customHeight="1">
      <c r="X563" s="16"/>
      <c r="Y563" s="16"/>
    </row>
    <row r="564" ht="15.75" customHeight="1">
      <c r="X564" s="16"/>
      <c r="Y564" s="16"/>
    </row>
    <row r="565" ht="15.75" customHeight="1">
      <c r="X565" s="16"/>
      <c r="Y565" s="16"/>
    </row>
    <row r="566" ht="15.75" customHeight="1">
      <c r="X566" s="16"/>
      <c r="Y566" s="16"/>
    </row>
    <row r="567" ht="15.75" customHeight="1">
      <c r="X567" s="16"/>
      <c r="Y567" s="16"/>
    </row>
    <row r="568" ht="15.75" customHeight="1">
      <c r="X568" s="16"/>
      <c r="Y568" s="16"/>
    </row>
    <row r="569" ht="15.75" customHeight="1">
      <c r="X569" s="16"/>
      <c r="Y569" s="16"/>
    </row>
    <row r="570" ht="15.75" customHeight="1">
      <c r="X570" s="16"/>
      <c r="Y570" s="16"/>
    </row>
    <row r="571" ht="15.75" customHeight="1">
      <c r="X571" s="16"/>
      <c r="Y571" s="16"/>
    </row>
    <row r="572" ht="15.75" customHeight="1">
      <c r="X572" s="16"/>
      <c r="Y572" s="16"/>
    </row>
    <row r="573" ht="15.75" customHeight="1">
      <c r="X573" s="16"/>
      <c r="Y573" s="16"/>
    </row>
    <row r="574" ht="15.75" customHeight="1">
      <c r="X574" s="16"/>
      <c r="Y574" s="16"/>
    </row>
    <row r="575" ht="15.75" customHeight="1">
      <c r="X575" s="16"/>
      <c r="Y575" s="16"/>
    </row>
    <row r="576" ht="15.75" customHeight="1">
      <c r="X576" s="16"/>
      <c r="Y576" s="16"/>
    </row>
    <row r="577" ht="15.75" customHeight="1">
      <c r="X577" s="16"/>
      <c r="Y577" s="16"/>
    </row>
    <row r="578" ht="15.75" customHeight="1">
      <c r="X578" s="16"/>
      <c r="Y578" s="16"/>
    </row>
    <row r="579" ht="15.75" customHeight="1">
      <c r="X579" s="16"/>
      <c r="Y579" s="16"/>
    </row>
    <row r="580" ht="15.75" customHeight="1">
      <c r="X580" s="16"/>
      <c r="Y580" s="16"/>
    </row>
    <row r="581" ht="15.75" customHeight="1">
      <c r="X581" s="16"/>
      <c r="Y581" s="16"/>
    </row>
    <row r="582" ht="15.75" customHeight="1">
      <c r="X582" s="16"/>
      <c r="Y582" s="16"/>
    </row>
    <row r="583" ht="15.75" customHeight="1">
      <c r="X583" s="16"/>
      <c r="Y583" s="16"/>
    </row>
    <row r="584" ht="15.75" customHeight="1">
      <c r="X584" s="16"/>
      <c r="Y584" s="16"/>
    </row>
    <row r="585" ht="15.75" customHeight="1">
      <c r="X585" s="16"/>
      <c r="Y585" s="16"/>
    </row>
    <row r="586" ht="15.75" customHeight="1">
      <c r="X586" s="16"/>
      <c r="Y586" s="16"/>
    </row>
    <row r="587" ht="15.75" customHeight="1">
      <c r="X587" s="16"/>
      <c r="Y587" s="16"/>
    </row>
    <row r="588" ht="15.75" customHeight="1">
      <c r="X588" s="16"/>
      <c r="Y588" s="16"/>
    </row>
    <row r="589" ht="15.75" customHeight="1">
      <c r="X589" s="16"/>
      <c r="Y589" s="16"/>
    </row>
    <row r="590" ht="15.75" customHeight="1">
      <c r="X590" s="16"/>
      <c r="Y590" s="16"/>
    </row>
    <row r="591" ht="15.75" customHeight="1">
      <c r="X591" s="16"/>
      <c r="Y591" s="16"/>
    </row>
    <row r="592" ht="15.75" customHeight="1">
      <c r="X592" s="16"/>
      <c r="Y592" s="16"/>
    </row>
    <row r="593" ht="15.75" customHeight="1">
      <c r="X593" s="16"/>
      <c r="Y593" s="16"/>
    </row>
    <row r="594" ht="15.75" customHeight="1">
      <c r="X594" s="16"/>
      <c r="Y594" s="16"/>
    </row>
    <row r="595" ht="15.75" customHeight="1">
      <c r="X595" s="16"/>
      <c r="Y595" s="16"/>
    </row>
    <row r="596" ht="15.75" customHeight="1">
      <c r="X596" s="16"/>
      <c r="Y596" s="16"/>
    </row>
    <row r="597" ht="15.75" customHeight="1">
      <c r="X597" s="16"/>
      <c r="Y597" s="16"/>
    </row>
    <row r="598" ht="15.75" customHeight="1">
      <c r="X598" s="16"/>
      <c r="Y598" s="16"/>
    </row>
    <row r="599" ht="15.75" customHeight="1">
      <c r="X599" s="16"/>
      <c r="Y599" s="16"/>
    </row>
    <row r="600" ht="15.75" customHeight="1">
      <c r="X600" s="16"/>
      <c r="Y600" s="16"/>
    </row>
    <row r="601" ht="15.75" customHeight="1">
      <c r="X601" s="16"/>
      <c r="Y601" s="16"/>
    </row>
    <row r="602" ht="15.75" customHeight="1">
      <c r="X602" s="16"/>
      <c r="Y602" s="16"/>
    </row>
    <row r="603" ht="15.75" customHeight="1">
      <c r="X603" s="16"/>
      <c r="Y603" s="16"/>
    </row>
    <row r="604" ht="15.75" customHeight="1">
      <c r="X604" s="16"/>
      <c r="Y604" s="16"/>
    </row>
    <row r="605" ht="15.75" customHeight="1">
      <c r="X605" s="16"/>
      <c r="Y605" s="16"/>
    </row>
    <row r="606" ht="15.75" customHeight="1">
      <c r="X606" s="16"/>
      <c r="Y606" s="16"/>
    </row>
    <row r="607" ht="15.75" customHeight="1">
      <c r="X607" s="16"/>
      <c r="Y607" s="16"/>
    </row>
    <row r="608" ht="15.75" customHeight="1">
      <c r="X608" s="16"/>
      <c r="Y608" s="16"/>
    </row>
    <row r="609" ht="15.75" customHeight="1">
      <c r="X609" s="16"/>
      <c r="Y609" s="16"/>
    </row>
    <row r="610" ht="15.75" customHeight="1">
      <c r="X610" s="16"/>
      <c r="Y610" s="16"/>
    </row>
    <row r="611" ht="15.75" customHeight="1">
      <c r="X611" s="16"/>
      <c r="Y611" s="16"/>
    </row>
    <row r="612" ht="15.75" customHeight="1">
      <c r="X612" s="16"/>
      <c r="Y612" s="16"/>
    </row>
    <row r="613" ht="15.75" customHeight="1">
      <c r="X613" s="16"/>
      <c r="Y613" s="16"/>
    </row>
    <row r="614" ht="15.75" customHeight="1">
      <c r="X614" s="16"/>
      <c r="Y614" s="16"/>
    </row>
    <row r="615" ht="15.75" customHeight="1">
      <c r="X615" s="16"/>
      <c r="Y615" s="16"/>
    </row>
    <row r="616" ht="15.75" customHeight="1">
      <c r="X616" s="16"/>
      <c r="Y616" s="16"/>
    </row>
    <row r="617" ht="15.75" customHeight="1">
      <c r="X617" s="16"/>
      <c r="Y617" s="16"/>
    </row>
    <row r="618" ht="15.75" customHeight="1">
      <c r="X618" s="16"/>
      <c r="Y618" s="16"/>
    </row>
    <row r="619" ht="15.75" customHeight="1">
      <c r="X619" s="16"/>
      <c r="Y619" s="16"/>
    </row>
    <row r="620" ht="15.75" customHeight="1">
      <c r="X620" s="16"/>
      <c r="Y620" s="16"/>
    </row>
    <row r="621" ht="15.75" customHeight="1">
      <c r="X621" s="16"/>
      <c r="Y621" s="16"/>
    </row>
    <row r="622" ht="15.75" customHeight="1">
      <c r="X622" s="16"/>
      <c r="Y622" s="16"/>
    </row>
    <row r="623" ht="15.75" customHeight="1">
      <c r="X623" s="16"/>
      <c r="Y623" s="16"/>
    </row>
    <row r="624" ht="15.75" customHeight="1">
      <c r="X624" s="16"/>
      <c r="Y624" s="16"/>
    </row>
    <row r="625" ht="15.75" customHeight="1">
      <c r="X625" s="16"/>
      <c r="Y625" s="16"/>
    </row>
    <row r="626" ht="15.75" customHeight="1">
      <c r="X626" s="16"/>
      <c r="Y626" s="16"/>
    </row>
    <row r="627" ht="15.75" customHeight="1">
      <c r="X627" s="16"/>
      <c r="Y627" s="16"/>
    </row>
    <row r="628" ht="15.75" customHeight="1">
      <c r="X628" s="16"/>
      <c r="Y628" s="16"/>
    </row>
    <row r="629" ht="15.75" customHeight="1">
      <c r="X629" s="16"/>
      <c r="Y629" s="16"/>
    </row>
    <row r="630" ht="15.75" customHeight="1">
      <c r="X630" s="16"/>
      <c r="Y630" s="16"/>
    </row>
    <row r="631" ht="15.75" customHeight="1">
      <c r="X631" s="16"/>
      <c r="Y631" s="16"/>
    </row>
    <row r="632" ht="15.75" customHeight="1">
      <c r="X632" s="16"/>
      <c r="Y632" s="16"/>
    </row>
    <row r="633" ht="15.75" customHeight="1">
      <c r="X633" s="16"/>
      <c r="Y633" s="16"/>
    </row>
    <row r="634" ht="15.75" customHeight="1">
      <c r="X634" s="16"/>
      <c r="Y634" s="16"/>
    </row>
    <row r="635" ht="15.75" customHeight="1">
      <c r="X635" s="16"/>
      <c r="Y635" s="16"/>
    </row>
    <row r="636" ht="15.75" customHeight="1">
      <c r="X636" s="16"/>
      <c r="Y636" s="16"/>
    </row>
    <row r="637" ht="15.75" customHeight="1">
      <c r="X637" s="16"/>
      <c r="Y637" s="16"/>
    </row>
    <row r="638" ht="15.75" customHeight="1">
      <c r="X638" s="16"/>
      <c r="Y638" s="16"/>
    </row>
    <row r="639" ht="15.75" customHeight="1">
      <c r="X639" s="16"/>
      <c r="Y639" s="16"/>
    </row>
    <row r="640" ht="15.75" customHeight="1">
      <c r="X640" s="16"/>
      <c r="Y640" s="16"/>
    </row>
    <row r="641" ht="15.75" customHeight="1">
      <c r="X641" s="16"/>
      <c r="Y641" s="16"/>
    </row>
    <row r="642" ht="15.75" customHeight="1">
      <c r="X642" s="16"/>
      <c r="Y642" s="16"/>
    </row>
    <row r="643" ht="15.75" customHeight="1">
      <c r="X643" s="16"/>
      <c r="Y643" s="16"/>
    </row>
    <row r="644" ht="15.75" customHeight="1">
      <c r="X644" s="16"/>
      <c r="Y644" s="16"/>
    </row>
    <row r="645" ht="15.75" customHeight="1">
      <c r="X645" s="16"/>
      <c r="Y645" s="16"/>
    </row>
    <row r="646" ht="15.75" customHeight="1">
      <c r="X646" s="16"/>
      <c r="Y646" s="16"/>
    </row>
    <row r="647" ht="15.75" customHeight="1">
      <c r="X647" s="16"/>
      <c r="Y647" s="16"/>
    </row>
    <row r="648" ht="15.75" customHeight="1">
      <c r="X648" s="16"/>
      <c r="Y648" s="16"/>
    </row>
    <row r="649" ht="15.75" customHeight="1">
      <c r="X649" s="16"/>
      <c r="Y649" s="16"/>
    </row>
    <row r="650" ht="15.75" customHeight="1">
      <c r="X650" s="16"/>
      <c r="Y650" s="16"/>
    </row>
    <row r="651" ht="15.75" customHeight="1">
      <c r="X651" s="16"/>
      <c r="Y651" s="16"/>
    </row>
    <row r="652" ht="15.75" customHeight="1">
      <c r="X652" s="16"/>
      <c r="Y652" s="16"/>
    </row>
    <row r="653" ht="15.75" customHeight="1">
      <c r="X653" s="16"/>
      <c r="Y653" s="16"/>
    </row>
    <row r="654" ht="15.75" customHeight="1">
      <c r="X654" s="16"/>
      <c r="Y654" s="16"/>
    </row>
    <row r="655" ht="15.75" customHeight="1">
      <c r="X655" s="16"/>
      <c r="Y655" s="16"/>
    </row>
    <row r="656" ht="15.75" customHeight="1">
      <c r="X656" s="16"/>
      <c r="Y656" s="16"/>
    </row>
    <row r="657" ht="15.75" customHeight="1">
      <c r="X657" s="16"/>
      <c r="Y657" s="16"/>
    </row>
    <row r="658" ht="15.75" customHeight="1">
      <c r="X658" s="16"/>
      <c r="Y658" s="16"/>
    </row>
    <row r="659" ht="15.75" customHeight="1">
      <c r="X659" s="16"/>
      <c r="Y659" s="16"/>
    </row>
    <row r="660" ht="15.75" customHeight="1">
      <c r="X660" s="16"/>
      <c r="Y660" s="16"/>
    </row>
    <row r="661" ht="15.75" customHeight="1">
      <c r="X661" s="16"/>
      <c r="Y661" s="16"/>
    </row>
    <row r="662" ht="15.75" customHeight="1">
      <c r="X662" s="16"/>
      <c r="Y662" s="16"/>
    </row>
    <row r="663" ht="15.75" customHeight="1">
      <c r="X663" s="16"/>
      <c r="Y663" s="16"/>
    </row>
    <row r="664" ht="15.75" customHeight="1">
      <c r="X664" s="16"/>
      <c r="Y664" s="16"/>
    </row>
    <row r="665" ht="15.75" customHeight="1">
      <c r="X665" s="16"/>
      <c r="Y665" s="16"/>
    </row>
    <row r="666" ht="15.75" customHeight="1">
      <c r="X666" s="16"/>
      <c r="Y666" s="16"/>
    </row>
    <row r="667" ht="15.75" customHeight="1">
      <c r="X667" s="16"/>
      <c r="Y667" s="16"/>
    </row>
    <row r="668" ht="15.75" customHeight="1">
      <c r="X668" s="16"/>
      <c r="Y668" s="16"/>
    </row>
    <row r="669" ht="15.75" customHeight="1">
      <c r="X669" s="16"/>
      <c r="Y669" s="16"/>
    </row>
    <row r="670" ht="15.75" customHeight="1">
      <c r="X670" s="16"/>
      <c r="Y670" s="16"/>
    </row>
    <row r="671" ht="15.75" customHeight="1">
      <c r="X671" s="16"/>
      <c r="Y671" s="16"/>
    </row>
    <row r="672" ht="15.75" customHeight="1">
      <c r="X672" s="16"/>
      <c r="Y672" s="16"/>
    </row>
    <row r="673" ht="15.75" customHeight="1">
      <c r="X673" s="16"/>
      <c r="Y673" s="16"/>
    </row>
    <row r="674" ht="15.75" customHeight="1">
      <c r="X674" s="16"/>
      <c r="Y674" s="16"/>
    </row>
    <row r="675" ht="15.75" customHeight="1">
      <c r="X675" s="16"/>
      <c r="Y675" s="16"/>
    </row>
    <row r="676" ht="15.75" customHeight="1">
      <c r="X676" s="16"/>
      <c r="Y676" s="16"/>
    </row>
    <row r="677" ht="15.75" customHeight="1">
      <c r="X677" s="16"/>
      <c r="Y677" s="16"/>
    </row>
    <row r="678" ht="15.75" customHeight="1">
      <c r="X678" s="16"/>
      <c r="Y678" s="16"/>
    </row>
    <row r="679" ht="15.75" customHeight="1">
      <c r="X679" s="16"/>
      <c r="Y679" s="16"/>
    </row>
    <row r="680" ht="15.75" customHeight="1">
      <c r="X680" s="16"/>
      <c r="Y680" s="16"/>
    </row>
    <row r="681" ht="15.75" customHeight="1">
      <c r="X681" s="16"/>
      <c r="Y681" s="16"/>
    </row>
    <row r="682" ht="15.75" customHeight="1">
      <c r="X682" s="16"/>
      <c r="Y682" s="16"/>
    </row>
    <row r="683" ht="15.75" customHeight="1">
      <c r="X683" s="16"/>
      <c r="Y683" s="16"/>
    </row>
    <row r="684" ht="15.75" customHeight="1">
      <c r="X684" s="16"/>
      <c r="Y684" s="16"/>
    </row>
    <row r="685" ht="15.75" customHeight="1">
      <c r="X685" s="16"/>
      <c r="Y685" s="16"/>
    </row>
    <row r="686" ht="15.75" customHeight="1">
      <c r="X686" s="16"/>
      <c r="Y686" s="16"/>
    </row>
    <row r="687" ht="15.75" customHeight="1">
      <c r="X687" s="16"/>
      <c r="Y687" s="16"/>
    </row>
    <row r="688" ht="15.75" customHeight="1">
      <c r="X688" s="16"/>
      <c r="Y688" s="16"/>
    </row>
    <row r="689" ht="15.75" customHeight="1">
      <c r="X689" s="16"/>
      <c r="Y689" s="16"/>
    </row>
    <row r="690" ht="15.75" customHeight="1">
      <c r="X690" s="16"/>
      <c r="Y690" s="16"/>
    </row>
    <row r="691" ht="15.75" customHeight="1">
      <c r="X691" s="16"/>
      <c r="Y691" s="16"/>
    </row>
    <row r="692" ht="15.75" customHeight="1">
      <c r="X692" s="16"/>
      <c r="Y692" s="16"/>
    </row>
    <row r="693" ht="15.75" customHeight="1">
      <c r="X693" s="16"/>
      <c r="Y693" s="16"/>
    </row>
    <row r="694" ht="15.75" customHeight="1">
      <c r="X694" s="16"/>
      <c r="Y694" s="16"/>
    </row>
    <row r="695" ht="15.75" customHeight="1">
      <c r="X695" s="16"/>
      <c r="Y695" s="16"/>
    </row>
    <row r="696" ht="15.75" customHeight="1">
      <c r="X696" s="16"/>
      <c r="Y696" s="16"/>
    </row>
    <row r="697" ht="15.75" customHeight="1">
      <c r="X697" s="16"/>
      <c r="Y697" s="16"/>
    </row>
    <row r="698" ht="15.75" customHeight="1">
      <c r="X698" s="16"/>
      <c r="Y698" s="16"/>
    </row>
    <row r="699" ht="15.75" customHeight="1">
      <c r="X699" s="16"/>
      <c r="Y699" s="16"/>
    </row>
    <row r="700" ht="15.75" customHeight="1">
      <c r="X700" s="16"/>
      <c r="Y700" s="16"/>
    </row>
    <row r="701" ht="15.75" customHeight="1">
      <c r="X701" s="16"/>
      <c r="Y701" s="16"/>
    </row>
    <row r="702" ht="15.75" customHeight="1">
      <c r="X702" s="16"/>
      <c r="Y702" s="16"/>
    </row>
    <row r="703" ht="15.75" customHeight="1">
      <c r="X703" s="16"/>
      <c r="Y703" s="16"/>
    </row>
    <row r="704" ht="15.75" customHeight="1">
      <c r="X704" s="16"/>
      <c r="Y704" s="16"/>
    </row>
    <row r="705" ht="15.75" customHeight="1">
      <c r="X705" s="16"/>
      <c r="Y705" s="16"/>
    </row>
    <row r="706" ht="15.75" customHeight="1">
      <c r="X706" s="16"/>
      <c r="Y706" s="16"/>
    </row>
    <row r="707" ht="15.75" customHeight="1">
      <c r="X707" s="16"/>
      <c r="Y707" s="16"/>
    </row>
    <row r="708" ht="15.75" customHeight="1">
      <c r="X708" s="16"/>
      <c r="Y708" s="16"/>
    </row>
    <row r="709" ht="15.75" customHeight="1">
      <c r="X709" s="16"/>
      <c r="Y709" s="16"/>
    </row>
    <row r="710" ht="15.75" customHeight="1">
      <c r="X710" s="16"/>
      <c r="Y710" s="16"/>
    </row>
    <row r="711" ht="15.75" customHeight="1">
      <c r="X711" s="16"/>
      <c r="Y711" s="16"/>
    </row>
    <row r="712" ht="15.75" customHeight="1">
      <c r="X712" s="16"/>
      <c r="Y712" s="16"/>
    </row>
    <row r="713" ht="15.75" customHeight="1">
      <c r="X713" s="16"/>
      <c r="Y713" s="16"/>
    </row>
    <row r="714" ht="15.75" customHeight="1">
      <c r="X714" s="16"/>
      <c r="Y714" s="16"/>
    </row>
    <row r="715" ht="15.75" customHeight="1">
      <c r="X715" s="16"/>
      <c r="Y715" s="16"/>
    </row>
    <row r="716" ht="15.75" customHeight="1">
      <c r="X716" s="16"/>
      <c r="Y716" s="16"/>
    </row>
    <row r="717" ht="15.75" customHeight="1">
      <c r="X717" s="16"/>
      <c r="Y717" s="16"/>
    </row>
    <row r="718" ht="15.75" customHeight="1">
      <c r="X718" s="16"/>
      <c r="Y718" s="16"/>
    </row>
    <row r="719" ht="15.75" customHeight="1">
      <c r="X719" s="16"/>
      <c r="Y719" s="16"/>
    </row>
    <row r="720" ht="15.75" customHeight="1">
      <c r="X720" s="16"/>
      <c r="Y720" s="16"/>
    </row>
    <row r="721" ht="15.75" customHeight="1">
      <c r="X721" s="16"/>
      <c r="Y721" s="16"/>
    </row>
    <row r="722" ht="15.75" customHeight="1">
      <c r="X722" s="16"/>
      <c r="Y722" s="16"/>
    </row>
    <row r="723" ht="15.75" customHeight="1">
      <c r="X723" s="16"/>
      <c r="Y723" s="16"/>
    </row>
    <row r="724" ht="15.75" customHeight="1">
      <c r="X724" s="16"/>
      <c r="Y724" s="16"/>
    </row>
    <row r="725" ht="15.75" customHeight="1">
      <c r="X725" s="16"/>
      <c r="Y725" s="16"/>
    </row>
    <row r="726" ht="15.75" customHeight="1">
      <c r="X726" s="16"/>
      <c r="Y726" s="16"/>
    </row>
    <row r="727" ht="15.75" customHeight="1">
      <c r="X727" s="16"/>
      <c r="Y727" s="16"/>
    </row>
    <row r="728" ht="15.75" customHeight="1">
      <c r="X728" s="16"/>
      <c r="Y728" s="16"/>
    </row>
    <row r="729" ht="15.75" customHeight="1">
      <c r="X729" s="16"/>
      <c r="Y729" s="16"/>
    </row>
    <row r="730" ht="15.75" customHeight="1">
      <c r="X730" s="16"/>
      <c r="Y730" s="16"/>
    </row>
    <row r="731" ht="15.75" customHeight="1">
      <c r="X731" s="16"/>
      <c r="Y731" s="16"/>
    </row>
    <row r="732" ht="15.75" customHeight="1">
      <c r="X732" s="16"/>
      <c r="Y732" s="16"/>
    </row>
    <row r="733" ht="15.75" customHeight="1">
      <c r="X733" s="16"/>
      <c r="Y733" s="16"/>
    </row>
    <row r="734" ht="15.75" customHeight="1">
      <c r="X734" s="16"/>
      <c r="Y734" s="16"/>
    </row>
    <row r="735" ht="15.75" customHeight="1">
      <c r="X735" s="16"/>
      <c r="Y735" s="16"/>
    </row>
    <row r="736" ht="15.75" customHeight="1">
      <c r="X736" s="16"/>
      <c r="Y736" s="16"/>
    </row>
    <row r="737" ht="15.75" customHeight="1">
      <c r="X737" s="16"/>
      <c r="Y737" s="16"/>
    </row>
    <row r="738" ht="15.75" customHeight="1">
      <c r="X738" s="16"/>
      <c r="Y738" s="16"/>
    </row>
    <row r="739" ht="15.75" customHeight="1">
      <c r="X739" s="16"/>
      <c r="Y739" s="16"/>
    </row>
    <row r="740" ht="15.75" customHeight="1">
      <c r="X740" s="16"/>
      <c r="Y740" s="16"/>
    </row>
    <row r="741" ht="15.75" customHeight="1">
      <c r="X741" s="16"/>
      <c r="Y741" s="16"/>
    </row>
    <row r="742" ht="15.75" customHeight="1">
      <c r="X742" s="16"/>
      <c r="Y742" s="16"/>
    </row>
    <row r="743" ht="15.75" customHeight="1">
      <c r="X743" s="16"/>
      <c r="Y743" s="16"/>
    </row>
    <row r="744" ht="15.75" customHeight="1">
      <c r="X744" s="16"/>
      <c r="Y744" s="16"/>
    </row>
    <row r="745" ht="15.75" customHeight="1">
      <c r="X745" s="16"/>
      <c r="Y745" s="16"/>
    </row>
    <row r="746" ht="15.75" customHeight="1">
      <c r="X746" s="16"/>
      <c r="Y746" s="16"/>
    </row>
    <row r="747" ht="15.75" customHeight="1">
      <c r="X747" s="16"/>
      <c r="Y747" s="16"/>
    </row>
    <row r="748" ht="15.75" customHeight="1">
      <c r="X748" s="16"/>
      <c r="Y748" s="16"/>
    </row>
    <row r="749" ht="15.75" customHeight="1">
      <c r="X749" s="16"/>
      <c r="Y749" s="16"/>
    </row>
    <row r="750" ht="15.75" customHeight="1">
      <c r="X750" s="16"/>
      <c r="Y750" s="16"/>
    </row>
    <row r="751" ht="15.75" customHeight="1">
      <c r="X751" s="16"/>
      <c r="Y751" s="16"/>
    </row>
    <row r="752" ht="15.75" customHeight="1">
      <c r="X752" s="16"/>
      <c r="Y752" s="16"/>
    </row>
    <row r="753" ht="15.75" customHeight="1">
      <c r="X753" s="16"/>
      <c r="Y753" s="16"/>
    </row>
    <row r="754" ht="15.75" customHeight="1">
      <c r="X754" s="16"/>
      <c r="Y754" s="16"/>
    </row>
    <row r="755" ht="15.75" customHeight="1">
      <c r="X755" s="16"/>
      <c r="Y755" s="16"/>
    </row>
    <row r="756" ht="15.75" customHeight="1">
      <c r="X756" s="16"/>
      <c r="Y756" s="16"/>
    </row>
    <row r="757" ht="15.75" customHeight="1">
      <c r="X757" s="16"/>
      <c r="Y757" s="16"/>
    </row>
    <row r="758" ht="15.75" customHeight="1">
      <c r="X758" s="16"/>
      <c r="Y758" s="16"/>
    </row>
    <row r="759" ht="15.75" customHeight="1">
      <c r="X759" s="16"/>
      <c r="Y759" s="16"/>
    </row>
    <row r="760" ht="15.75" customHeight="1">
      <c r="X760" s="16"/>
      <c r="Y760" s="16"/>
    </row>
    <row r="761" ht="15.75" customHeight="1">
      <c r="X761" s="16"/>
      <c r="Y761" s="16"/>
    </row>
    <row r="762" ht="15.75" customHeight="1">
      <c r="X762" s="16"/>
      <c r="Y762" s="16"/>
    </row>
    <row r="763" ht="15.75" customHeight="1">
      <c r="X763" s="16"/>
      <c r="Y763" s="16"/>
    </row>
    <row r="764" ht="15.75" customHeight="1">
      <c r="X764" s="16"/>
      <c r="Y764" s="16"/>
    </row>
    <row r="765" ht="15.75" customHeight="1">
      <c r="X765" s="16"/>
      <c r="Y765" s="16"/>
    </row>
    <row r="766" ht="15.75" customHeight="1">
      <c r="X766" s="16"/>
      <c r="Y766" s="16"/>
    </row>
    <row r="767" ht="15.75" customHeight="1">
      <c r="X767" s="16"/>
      <c r="Y767" s="16"/>
    </row>
    <row r="768" ht="15.75" customHeight="1">
      <c r="X768" s="16"/>
      <c r="Y768" s="16"/>
    </row>
    <row r="769" ht="15.75" customHeight="1">
      <c r="X769" s="16"/>
      <c r="Y769" s="16"/>
    </row>
    <row r="770" ht="15.75" customHeight="1">
      <c r="X770" s="16"/>
      <c r="Y770" s="16"/>
    </row>
    <row r="771" ht="15.75" customHeight="1">
      <c r="X771" s="16"/>
      <c r="Y771" s="16"/>
    </row>
    <row r="772" ht="15.75" customHeight="1">
      <c r="X772" s="16"/>
      <c r="Y772" s="16"/>
    </row>
    <row r="773" ht="15.75" customHeight="1">
      <c r="X773" s="16"/>
      <c r="Y773" s="16"/>
    </row>
    <row r="774" ht="15.75" customHeight="1">
      <c r="X774" s="16"/>
      <c r="Y774" s="16"/>
    </row>
    <row r="775" ht="15.75" customHeight="1">
      <c r="X775" s="16"/>
      <c r="Y775" s="16"/>
    </row>
    <row r="776" ht="15.75" customHeight="1">
      <c r="X776" s="16"/>
      <c r="Y776" s="16"/>
    </row>
    <row r="777" ht="15.75" customHeight="1">
      <c r="X777" s="16"/>
      <c r="Y777" s="16"/>
    </row>
    <row r="778" ht="15.75" customHeight="1">
      <c r="X778" s="16"/>
      <c r="Y778" s="16"/>
    </row>
    <row r="779" ht="15.75" customHeight="1">
      <c r="X779" s="16"/>
      <c r="Y779" s="16"/>
    </row>
    <row r="780" ht="15.75" customHeight="1">
      <c r="X780" s="16"/>
      <c r="Y780" s="16"/>
    </row>
    <row r="781" ht="15.75" customHeight="1">
      <c r="X781" s="16"/>
      <c r="Y781" s="16"/>
    </row>
    <row r="782" ht="15.75" customHeight="1">
      <c r="X782" s="16"/>
      <c r="Y782" s="16"/>
    </row>
    <row r="783" ht="15.75" customHeight="1">
      <c r="X783" s="16"/>
      <c r="Y783" s="16"/>
    </row>
    <row r="784" ht="15.75" customHeight="1">
      <c r="X784" s="16"/>
      <c r="Y784" s="16"/>
    </row>
    <row r="785" ht="15.75" customHeight="1">
      <c r="X785" s="16"/>
      <c r="Y785" s="16"/>
    </row>
    <row r="786" ht="15.75" customHeight="1">
      <c r="X786" s="16"/>
      <c r="Y786" s="16"/>
    </row>
    <row r="787" ht="15.75" customHeight="1">
      <c r="X787" s="16"/>
      <c r="Y787" s="16"/>
    </row>
    <row r="788" ht="15.75" customHeight="1">
      <c r="X788" s="16"/>
      <c r="Y788" s="16"/>
    </row>
    <row r="789" ht="15.75" customHeight="1">
      <c r="X789" s="16"/>
      <c r="Y789" s="16"/>
    </row>
    <row r="790" ht="15.75" customHeight="1">
      <c r="X790" s="16"/>
      <c r="Y790" s="16"/>
    </row>
    <row r="791" ht="15.75" customHeight="1">
      <c r="X791" s="16"/>
      <c r="Y791" s="16"/>
    </row>
    <row r="792" ht="15.75" customHeight="1">
      <c r="X792" s="16"/>
      <c r="Y792" s="16"/>
    </row>
    <row r="793" ht="15.75" customHeight="1">
      <c r="X793" s="16"/>
      <c r="Y793" s="16"/>
    </row>
    <row r="794" ht="15.75" customHeight="1">
      <c r="X794" s="16"/>
      <c r="Y794" s="16"/>
    </row>
    <row r="795" ht="15.75" customHeight="1">
      <c r="X795" s="16"/>
      <c r="Y795" s="16"/>
    </row>
    <row r="796" ht="15.75" customHeight="1">
      <c r="X796" s="16"/>
      <c r="Y796" s="16"/>
    </row>
    <row r="797" ht="15.75" customHeight="1">
      <c r="X797" s="16"/>
      <c r="Y797" s="16"/>
    </row>
    <row r="798" ht="15.75" customHeight="1">
      <c r="X798" s="16"/>
      <c r="Y798" s="16"/>
    </row>
    <row r="799" ht="15.75" customHeight="1">
      <c r="X799" s="16"/>
      <c r="Y799" s="16"/>
    </row>
    <row r="800" ht="15.75" customHeight="1">
      <c r="X800" s="16"/>
      <c r="Y800" s="16"/>
    </row>
    <row r="801" ht="15.75" customHeight="1">
      <c r="X801" s="16"/>
      <c r="Y801" s="16"/>
    </row>
    <row r="802" ht="15.75" customHeight="1">
      <c r="X802" s="16"/>
      <c r="Y802" s="16"/>
    </row>
    <row r="803" ht="15.75" customHeight="1">
      <c r="X803" s="16"/>
      <c r="Y803" s="16"/>
    </row>
    <row r="804" ht="15.75" customHeight="1">
      <c r="X804" s="16"/>
      <c r="Y804" s="16"/>
    </row>
    <row r="805" ht="15.75" customHeight="1">
      <c r="X805" s="16"/>
      <c r="Y805" s="16"/>
    </row>
    <row r="806" ht="15.75" customHeight="1">
      <c r="X806" s="16"/>
      <c r="Y806" s="16"/>
    </row>
    <row r="807" ht="15.75" customHeight="1">
      <c r="X807" s="16"/>
      <c r="Y807" s="16"/>
    </row>
    <row r="808" ht="15.75" customHeight="1">
      <c r="X808" s="16"/>
      <c r="Y808" s="16"/>
    </row>
    <row r="809" ht="15.75" customHeight="1">
      <c r="X809" s="16"/>
      <c r="Y809" s="16"/>
    </row>
    <row r="810" ht="15.75" customHeight="1">
      <c r="X810" s="16"/>
      <c r="Y810" s="16"/>
    </row>
    <row r="811" ht="15.75" customHeight="1">
      <c r="X811" s="16"/>
      <c r="Y811" s="16"/>
    </row>
    <row r="812" ht="15.75" customHeight="1">
      <c r="X812" s="16"/>
      <c r="Y812" s="16"/>
    </row>
    <row r="813" ht="15.75" customHeight="1">
      <c r="X813" s="16"/>
      <c r="Y813" s="16"/>
    </row>
    <row r="814" ht="15.75" customHeight="1">
      <c r="X814" s="16"/>
      <c r="Y814" s="16"/>
    </row>
    <row r="815" ht="15.75" customHeight="1">
      <c r="X815" s="16"/>
      <c r="Y815" s="16"/>
    </row>
    <row r="816" ht="15.75" customHeight="1">
      <c r="X816" s="16"/>
      <c r="Y816" s="16"/>
    </row>
    <row r="817" ht="15.75" customHeight="1">
      <c r="X817" s="16"/>
      <c r="Y817" s="16"/>
    </row>
    <row r="818" ht="15.75" customHeight="1">
      <c r="X818" s="16"/>
      <c r="Y818" s="16"/>
    </row>
    <row r="819" ht="15.75" customHeight="1">
      <c r="X819" s="16"/>
      <c r="Y819" s="16"/>
    </row>
    <row r="820" ht="15.75" customHeight="1">
      <c r="X820" s="16"/>
      <c r="Y820" s="16"/>
    </row>
    <row r="821" ht="15.75" customHeight="1">
      <c r="X821" s="16"/>
      <c r="Y821" s="16"/>
    </row>
    <row r="822" ht="15.75" customHeight="1">
      <c r="X822" s="16"/>
      <c r="Y822" s="16"/>
    </row>
    <row r="823" ht="15.75" customHeight="1">
      <c r="X823" s="16"/>
      <c r="Y823" s="16"/>
    </row>
    <row r="824" ht="15.75" customHeight="1">
      <c r="X824" s="16"/>
      <c r="Y824" s="16"/>
    </row>
    <row r="825" ht="15.75" customHeight="1">
      <c r="X825" s="16"/>
      <c r="Y825" s="16"/>
    </row>
    <row r="826" ht="15.75" customHeight="1">
      <c r="X826" s="16"/>
      <c r="Y826" s="16"/>
    </row>
    <row r="827" ht="15.75" customHeight="1">
      <c r="X827" s="16"/>
      <c r="Y827" s="16"/>
    </row>
    <row r="828" ht="15.75" customHeight="1">
      <c r="X828" s="16"/>
      <c r="Y828" s="16"/>
    </row>
    <row r="829" ht="15.75" customHeight="1">
      <c r="X829" s="16"/>
      <c r="Y829" s="16"/>
    </row>
    <row r="830" ht="15.75" customHeight="1">
      <c r="X830" s="16"/>
      <c r="Y830" s="16"/>
    </row>
    <row r="831" ht="15.75" customHeight="1">
      <c r="X831" s="16"/>
      <c r="Y831" s="16"/>
    </row>
    <row r="832" ht="15.75" customHeight="1">
      <c r="X832" s="16"/>
      <c r="Y832" s="16"/>
    </row>
    <row r="833" ht="15.75" customHeight="1">
      <c r="X833" s="16"/>
      <c r="Y833" s="16"/>
    </row>
    <row r="834" ht="15.75" customHeight="1">
      <c r="X834" s="16"/>
      <c r="Y834" s="16"/>
    </row>
    <row r="835" ht="15.75" customHeight="1">
      <c r="X835" s="16"/>
      <c r="Y835" s="16"/>
    </row>
    <row r="836" ht="15.75" customHeight="1">
      <c r="X836" s="16"/>
      <c r="Y836" s="16"/>
    </row>
    <row r="837" ht="15.75" customHeight="1">
      <c r="X837" s="16"/>
      <c r="Y837" s="16"/>
    </row>
    <row r="838" ht="15.75" customHeight="1">
      <c r="X838" s="16"/>
      <c r="Y838" s="16"/>
    </row>
    <row r="839" ht="15.75" customHeight="1">
      <c r="X839" s="16"/>
      <c r="Y839" s="16"/>
    </row>
    <row r="840" ht="15.75" customHeight="1">
      <c r="X840" s="16"/>
      <c r="Y840" s="16"/>
    </row>
    <row r="841" ht="15.75" customHeight="1">
      <c r="X841" s="16"/>
      <c r="Y841" s="16"/>
    </row>
    <row r="842" ht="15.75" customHeight="1">
      <c r="X842" s="16"/>
      <c r="Y842" s="16"/>
    </row>
    <row r="843" ht="15.75" customHeight="1">
      <c r="X843" s="16"/>
      <c r="Y843" s="16"/>
    </row>
    <row r="844" ht="15.75" customHeight="1">
      <c r="X844" s="16"/>
      <c r="Y844" s="16"/>
    </row>
    <row r="845" ht="15.75" customHeight="1">
      <c r="X845" s="16"/>
      <c r="Y845" s="16"/>
    </row>
    <row r="846" ht="15.75" customHeight="1">
      <c r="X846" s="16"/>
      <c r="Y846" s="16"/>
    </row>
    <row r="847" ht="15.75" customHeight="1">
      <c r="X847" s="16"/>
      <c r="Y847" s="16"/>
    </row>
    <row r="848" ht="15.75" customHeight="1">
      <c r="X848" s="16"/>
      <c r="Y848" s="16"/>
    </row>
    <row r="849" ht="15.75" customHeight="1">
      <c r="X849" s="16"/>
      <c r="Y849" s="16"/>
    </row>
    <row r="850" ht="15.75" customHeight="1">
      <c r="X850" s="16"/>
      <c r="Y850" s="16"/>
    </row>
    <row r="851" ht="15.75" customHeight="1">
      <c r="X851" s="16"/>
      <c r="Y851" s="16"/>
    </row>
    <row r="852" ht="15.75" customHeight="1">
      <c r="X852" s="16"/>
      <c r="Y852" s="16"/>
    </row>
    <row r="853" ht="15.75" customHeight="1">
      <c r="X853" s="16"/>
      <c r="Y853" s="16"/>
    </row>
    <row r="854" ht="15.75" customHeight="1">
      <c r="X854" s="16"/>
      <c r="Y854" s="16"/>
    </row>
    <row r="855" ht="15.75" customHeight="1">
      <c r="X855" s="16"/>
      <c r="Y855" s="16"/>
    </row>
    <row r="856" ht="15.75" customHeight="1">
      <c r="X856" s="16"/>
      <c r="Y856" s="16"/>
    </row>
    <row r="857" ht="15.75" customHeight="1">
      <c r="X857" s="16"/>
      <c r="Y857" s="16"/>
    </row>
    <row r="858" ht="15.75" customHeight="1">
      <c r="X858" s="16"/>
      <c r="Y858" s="16"/>
    </row>
    <row r="859" ht="15.75" customHeight="1">
      <c r="X859" s="16"/>
      <c r="Y859" s="16"/>
    </row>
    <row r="860" ht="15.75" customHeight="1">
      <c r="X860" s="16"/>
      <c r="Y860" s="16"/>
    </row>
    <row r="861" ht="15.75" customHeight="1">
      <c r="X861" s="16"/>
      <c r="Y861" s="16"/>
    </row>
    <row r="862" ht="15.75" customHeight="1">
      <c r="X862" s="16"/>
      <c r="Y862" s="16"/>
    </row>
    <row r="863" ht="15.75" customHeight="1">
      <c r="X863" s="16"/>
      <c r="Y863" s="16"/>
    </row>
    <row r="864" ht="15.75" customHeight="1">
      <c r="X864" s="16"/>
      <c r="Y864" s="16"/>
    </row>
    <row r="865" ht="15.75" customHeight="1">
      <c r="X865" s="16"/>
      <c r="Y865" s="16"/>
    </row>
    <row r="866" ht="15.75" customHeight="1">
      <c r="X866" s="16"/>
      <c r="Y866" s="16"/>
    </row>
    <row r="867" ht="15.75" customHeight="1">
      <c r="X867" s="16"/>
      <c r="Y867" s="16"/>
    </row>
    <row r="868" ht="15.75" customHeight="1">
      <c r="X868" s="16"/>
      <c r="Y868" s="16"/>
    </row>
    <row r="869" ht="15.75" customHeight="1">
      <c r="X869" s="16"/>
      <c r="Y869" s="16"/>
    </row>
    <row r="870" ht="15.75" customHeight="1">
      <c r="X870" s="16"/>
      <c r="Y870" s="16"/>
    </row>
    <row r="871" ht="15.75" customHeight="1">
      <c r="X871" s="16"/>
      <c r="Y871" s="16"/>
    </row>
    <row r="872" ht="15.75" customHeight="1">
      <c r="X872" s="16"/>
      <c r="Y872" s="16"/>
    </row>
    <row r="873" ht="15.75" customHeight="1">
      <c r="X873" s="16"/>
      <c r="Y873" s="16"/>
    </row>
    <row r="874" ht="15.75" customHeight="1">
      <c r="X874" s="16"/>
      <c r="Y874" s="16"/>
    </row>
    <row r="875" ht="15.75" customHeight="1">
      <c r="X875" s="16"/>
      <c r="Y875" s="16"/>
    </row>
    <row r="876" ht="15.75" customHeight="1">
      <c r="X876" s="16"/>
      <c r="Y876" s="16"/>
    </row>
    <row r="877" ht="15.75" customHeight="1">
      <c r="X877" s="16"/>
      <c r="Y877" s="16"/>
    </row>
    <row r="878" ht="15.75" customHeight="1">
      <c r="X878" s="16"/>
      <c r="Y878" s="16"/>
    </row>
    <row r="879" ht="15.75" customHeight="1">
      <c r="X879" s="16"/>
      <c r="Y879" s="16"/>
    </row>
    <row r="880" ht="15.75" customHeight="1">
      <c r="X880" s="16"/>
      <c r="Y880" s="16"/>
    </row>
    <row r="881" ht="15.75" customHeight="1">
      <c r="X881" s="16"/>
      <c r="Y881" s="16"/>
    </row>
    <row r="882" ht="15.75" customHeight="1">
      <c r="X882" s="16"/>
      <c r="Y882" s="16"/>
    </row>
    <row r="883" ht="15.75" customHeight="1">
      <c r="X883" s="16"/>
      <c r="Y883" s="16"/>
    </row>
    <row r="884" ht="15.75" customHeight="1">
      <c r="X884" s="16"/>
      <c r="Y884" s="16"/>
    </row>
    <row r="885" ht="15.75" customHeight="1">
      <c r="X885" s="16"/>
      <c r="Y885" s="16"/>
    </row>
    <row r="886" ht="15.75" customHeight="1">
      <c r="X886" s="16"/>
      <c r="Y886" s="16"/>
    </row>
    <row r="887" ht="15.75" customHeight="1">
      <c r="X887" s="16"/>
      <c r="Y887" s="16"/>
    </row>
    <row r="888" ht="15.75" customHeight="1">
      <c r="X888" s="16"/>
      <c r="Y888" s="16"/>
    </row>
    <row r="889" ht="15.75" customHeight="1">
      <c r="X889" s="16"/>
      <c r="Y889" s="16"/>
    </row>
    <row r="890" ht="15.75" customHeight="1">
      <c r="X890" s="16"/>
      <c r="Y890" s="16"/>
    </row>
    <row r="891" ht="15.75" customHeight="1">
      <c r="X891" s="16"/>
      <c r="Y891" s="16"/>
    </row>
    <row r="892" ht="15.75" customHeight="1">
      <c r="X892" s="16"/>
      <c r="Y892" s="16"/>
    </row>
    <row r="893" ht="15.75" customHeight="1">
      <c r="X893" s="16"/>
      <c r="Y893" s="16"/>
    </row>
    <row r="894" ht="15.75" customHeight="1">
      <c r="X894" s="16"/>
      <c r="Y894" s="16"/>
    </row>
    <row r="895" ht="15.75" customHeight="1">
      <c r="X895" s="16"/>
      <c r="Y895" s="16"/>
    </row>
    <row r="896" ht="15.75" customHeight="1">
      <c r="X896" s="16"/>
      <c r="Y896" s="16"/>
    </row>
    <row r="897" ht="15.75" customHeight="1">
      <c r="X897" s="16"/>
      <c r="Y897" s="16"/>
    </row>
    <row r="898" ht="15.75" customHeight="1">
      <c r="X898" s="16"/>
      <c r="Y898" s="16"/>
    </row>
    <row r="899" ht="15.75" customHeight="1">
      <c r="X899" s="16"/>
      <c r="Y899" s="16"/>
    </row>
    <row r="900" ht="15.75" customHeight="1">
      <c r="X900" s="16"/>
      <c r="Y900" s="16"/>
    </row>
    <row r="901" ht="15.75" customHeight="1">
      <c r="X901" s="16"/>
      <c r="Y901" s="16"/>
    </row>
    <row r="902" ht="15.75" customHeight="1">
      <c r="X902" s="16"/>
      <c r="Y902" s="16"/>
    </row>
    <row r="903" ht="15.75" customHeight="1">
      <c r="X903" s="16"/>
      <c r="Y903" s="16"/>
    </row>
    <row r="904" ht="15.75" customHeight="1">
      <c r="X904" s="16"/>
      <c r="Y904" s="16"/>
    </row>
    <row r="905" ht="15.75" customHeight="1">
      <c r="X905" s="16"/>
      <c r="Y905" s="16"/>
    </row>
    <row r="906" ht="15.75" customHeight="1">
      <c r="X906" s="16"/>
      <c r="Y906" s="16"/>
    </row>
    <row r="907" ht="15.75" customHeight="1">
      <c r="X907" s="16"/>
      <c r="Y907" s="16"/>
    </row>
    <row r="908" ht="15.75" customHeight="1">
      <c r="X908" s="16"/>
      <c r="Y908" s="16"/>
    </row>
    <row r="909" ht="15.75" customHeight="1">
      <c r="X909" s="16"/>
      <c r="Y909" s="16"/>
    </row>
    <row r="910" ht="15.75" customHeight="1">
      <c r="X910" s="16"/>
      <c r="Y910" s="16"/>
    </row>
    <row r="911" ht="15.75" customHeight="1">
      <c r="X911" s="16"/>
      <c r="Y911" s="16"/>
    </row>
    <row r="912" ht="15.75" customHeight="1">
      <c r="X912" s="16"/>
      <c r="Y912" s="16"/>
    </row>
    <row r="913" ht="15.75" customHeight="1">
      <c r="X913" s="16"/>
      <c r="Y913" s="16"/>
    </row>
    <row r="914" ht="15.75" customHeight="1">
      <c r="X914" s="16"/>
      <c r="Y914" s="16"/>
    </row>
    <row r="915" ht="15.75" customHeight="1">
      <c r="X915" s="16"/>
      <c r="Y915" s="16"/>
    </row>
    <row r="916" ht="15.75" customHeight="1">
      <c r="X916" s="16"/>
      <c r="Y916" s="16"/>
    </row>
    <row r="917" ht="15.75" customHeight="1">
      <c r="X917" s="16"/>
      <c r="Y917" s="16"/>
    </row>
    <row r="918" ht="15.75" customHeight="1">
      <c r="X918" s="16"/>
      <c r="Y918" s="16"/>
    </row>
    <row r="919" ht="15.75" customHeight="1">
      <c r="X919" s="16"/>
      <c r="Y919" s="16"/>
    </row>
    <row r="920" ht="15.75" customHeight="1">
      <c r="X920" s="16"/>
      <c r="Y920" s="16"/>
    </row>
    <row r="921" ht="15.75" customHeight="1">
      <c r="X921" s="16"/>
      <c r="Y921" s="16"/>
    </row>
    <row r="922" ht="15.75" customHeight="1">
      <c r="X922" s="16"/>
      <c r="Y922" s="16"/>
    </row>
    <row r="923" ht="15.75" customHeight="1">
      <c r="X923" s="16"/>
      <c r="Y923" s="16"/>
    </row>
    <row r="924" ht="15.75" customHeight="1">
      <c r="X924" s="16"/>
      <c r="Y924" s="16"/>
    </row>
    <row r="925" ht="15.75" customHeight="1">
      <c r="X925" s="16"/>
      <c r="Y925" s="16"/>
    </row>
    <row r="926" ht="15.75" customHeight="1">
      <c r="X926" s="16"/>
      <c r="Y926" s="16"/>
    </row>
    <row r="927" ht="15.75" customHeight="1">
      <c r="X927" s="16"/>
      <c r="Y927" s="16"/>
    </row>
    <row r="928" ht="15.75" customHeight="1">
      <c r="X928" s="16"/>
      <c r="Y928" s="16"/>
    </row>
    <row r="929" ht="15.75" customHeight="1">
      <c r="X929" s="16"/>
      <c r="Y929" s="16"/>
    </row>
    <row r="930" ht="15.75" customHeight="1">
      <c r="X930" s="16"/>
      <c r="Y930" s="16"/>
    </row>
    <row r="931" ht="15.75" customHeight="1">
      <c r="X931" s="16"/>
      <c r="Y931" s="16"/>
    </row>
    <row r="932" ht="15.75" customHeight="1">
      <c r="X932" s="16"/>
      <c r="Y932" s="16"/>
    </row>
    <row r="933" ht="15.75" customHeight="1">
      <c r="X933" s="16"/>
      <c r="Y933" s="16"/>
    </row>
    <row r="934" ht="15.75" customHeight="1">
      <c r="X934" s="16"/>
      <c r="Y934" s="16"/>
    </row>
    <row r="935" ht="15.75" customHeight="1">
      <c r="X935" s="16"/>
      <c r="Y935" s="16"/>
    </row>
    <row r="936" ht="15.75" customHeight="1">
      <c r="X936" s="16"/>
      <c r="Y936" s="16"/>
    </row>
    <row r="937" ht="15.75" customHeight="1">
      <c r="X937" s="16"/>
      <c r="Y937" s="16"/>
    </row>
    <row r="938" ht="15.75" customHeight="1">
      <c r="X938" s="16"/>
      <c r="Y938" s="16"/>
    </row>
    <row r="939" ht="15.75" customHeight="1">
      <c r="X939" s="16"/>
      <c r="Y939" s="16"/>
    </row>
    <row r="940" ht="15.75" customHeight="1">
      <c r="X940" s="16"/>
      <c r="Y940" s="16"/>
    </row>
    <row r="941" ht="15.75" customHeight="1">
      <c r="X941" s="16"/>
      <c r="Y941" s="16"/>
    </row>
    <row r="942" ht="15.75" customHeight="1">
      <c r="X942" s="16"/>
      <c r="Y942" s="16"/>
    </row>
    <row r="943" ht="15.75" customHeight="1">
      <c r="X943" s="16"/>
      <c r="Y943" s="16"/>
    </row>
    <row r="944" ht="15.75" customHeight="1">
      <c r="X944" s="16"/>
      <c r="Y944" s="16"/>
    </row>
    <row r="945" ht="15.75" customHeight="1">
      <c r="X945" s="16"/>
      <c r="Y945" s="16"/>
    </row>
    <row r="946" ht="15.75" customHeight="1">
      <c r="X946" s="16"/>
      <c r="Y946" s="16"/>
    </row>
    <row r="947" ht="15.75" customHeight="1">
      <c r="X947" s="16"/>
      <c r="Y947" s="16"/>
    </row>
    <row r="948" ht="15.75" customHeight="1">
      <c r="X948" s="16"/>
      <c r="Y948" s="16"/>
    </row>
    <row r="949" ht="15.75" customHeight="1">
      <c r="X949" s="16"/>
      <c r="Y949" s="16"/>
    </row>
    <row r="950" ht="15.75" customHeight="1">
      <c r="X950" s="16"/>
      <c r="Y950" s="16"/>
    </row>
    <row r="951" ht="15.75" customHeight="1">
      <c r="X951" s="16"/>
      <c r="Y951" s="16"/>
    </row>
    <row r="952" ht="15.75" customHeight="1">
      <c r="X952" s="16"/>
      <c r="Y952" s="16"/>
    </row>
    <row r="953" ht="15.75" customHeight="1">
      <c r="X953" s="16"/>
      <c r="Y953" s="16"/>
    </row>
    <row r="954" ht="15.75" customHeight="1">
      <c r="X954" s="16"/>
      <c r="Y954" s="16"/>
    </row>
    <row r="955" ht="15.75" customHeight="1">
      <c r="X955" s="16"/>
      <c r="Y955" s="16"/>
    </row>
    <row r="956" ht="15.75" customHeight="1">
      <c r="X956" s="16"/>
      <c r="Y956" s="16"/>
    </row>
    <row r="957" ht="15.75" customHeight="1">
      <c r="X957" s="16"/>
      <c r="Y957" s="16"/>
    </row>
    <row r="958" ht="15.75" customHeight="1">
      <c r="X958" s="16"/>
      <c r="Y958" s="16"/>
    </row>
    <row r="959" ht="15.75" customHeight="1">
      <c r="X959" s="16"/>
      <c r="Y959" s="16"/>
    </row>
    <row r="960" ht="15.75" customHeight="1">
      <c r="X960" s="16"/>
      <c r="Y960" s="16"/>
    </row>
    <row r="961" ht="15.75" customHeight="1">
      <c r="X961" s="16"/>
      <c r="Y961" s="16"/>
    </row>
    <row r="962" ht="15.75" customHeight="1">
      <c r="X962" s="16"/>
      <c r="Y962" s="16"/>
    </row>
    <row r="963" ht="15.75" customHeight="1">
      <c r="X963" s="16"/>
      <c r="Y963" s="16"/>
    </row>
    <row r="964" ht="15.75" customHeight="1">
      <c r="X964" s="16"/>
      <c r="Y964" s="16"/>
    </row>
    <row r="965" ht="15.75" customHeight="1">
      <c r="X965" s="16"/>
      <c r="Y965" s="16"/>
    </row>
    <row r="966" ht="15.75" customHeight="1">
      <c r="X966" s="16"/>
      <c r="Y966" s="16"/>
    </row>
    <row r="967" ht="15.75" customHeight="1">
      <c r="X967" s="16"/>
      <c r="Y967" s="16"/>
    </row>
    <row r="968" ht="15.75" customHeight="1">
      <c r="X968" s="16"/>
      <c r="Y968" s="16"/>
    </row>
    <row r="969" ht="15.75" customHeight="1">
      <c r="X969" s="16"/>
      <c r="Y969" s="16"/>
    </row>
    <row r="970" ht="15.75" customHeight="1">
      <c r="X970" s="16"/>
      <c r="Y970" s="16"/>
    </row>
    <row r="971" ht="15.75" customHeight="1">
      <c r="X971" s="16"/>
      <c r="Y971" s="16"/>
    </row>
    <row r="972" ht="15.75" customHeight="1">
      <c r="X972" s="16"/>
      <c r="Y972" s="16"/>
    </row>
    <row r="973" ht="15.75" customHeight="1">
      <c r="X973" s="16"/>
      <c r="Y973" s="16"/>
    </row>
    <row r="974" ht="15.75" customHeight="1">
      <c r="X974" s="16"/>
      <c r="Y974" s="16"/>
    </row>
    <row r="975" ht="15.75" customHeight="1">
      <c r="X975" s="16"/>
      <c r="Y975" s="16"/>
    </row>
    <row r="976" ht="15.75" customHeight="1">
      <c r="X976" s="16"/>
      <c r="Y976" s="16"/>
    </row>
    <row r="977" ht="15.75" customHeight="1">
      <c r="X977" s="16"/>
      <c r="Y977" s="16"/>
    </row>
    <row r="978" ht="15.75" customHeight="1">
      <c r="X978" s="16"/>
      <c r="Y978" s="16"/>
    </row>
    <row r="979" ht="15.75" customHeight="1">
      <c r="X979" s="16"/>
      <c r="Y979" s="16"/>
    </row>
    <row r="980" ht="15.75" customHeight="1">
      <c r="X980" s="16"/>
      <c r="Y980" s="16"/>
    </row>
    <row r="981" ht="15.75" customHeight="1">
      <c r="X981" s="16"/>
      <c r="Y981" s="16"/>
    </row>
    <row r="982" ht="15.75" customHeight="1">
      <c r="X982" s="16"/>
      <c r="Y982" s="16"/>
    </row>
    <row r="983" ht="15.75" customHeight="1">
      <c r="X983" s="16"/>
      <c r="Y983" s="16"/>
    </row>
    <row r="984" ht="15.75" customHeight="1">
      <c r="X984" s="16"/>
      <c r="Y984" s="16"/>
    </row>
    <row r="985" ht="15.75" customHeight="1">
      <c r="X985" s="16"/>
      <c r="Y985" s="16"/>
    </row>
    <row r="986" ht="15.75" customHeight="1">
      <c r="X986" s="16"/>
      <c r="Y986" s="16"/>
    </row>
    <row r="987" ht="15.75" customHeight="1">
      <c r="X987" s="16"/>
      <c r="Y987" s="16"/>
    </row>
    <row r="988" ht="15.75" customHeight="1">
      <c r="X988" s="16"/>
      <c r="Y988" s="16"/>
    </row>
    <row r="989" ht="15.75" customHeight="1">
      <c r="X989" s="16"/>
      <c r="Y989" s="16"/>
    </row>
    <row r="990" ht="15.75" customHeight="1">
      <c r="X990" s="16"/>
      <c r="Y990" s="16"/>
    </row>
    <row r="991" ht="15.75" customHeight="1">
      <c r="X991" s="16"/>
      <c r="Y991" s="16"/>
    </row>
    <row r="992" ht="15.75" customHeight="1">
      <c r="X992" s="16"/>
      <c r="Y992" s="16"/>
    </row>
    <row r="993" ht="15.75" customHeight="1">
      <c r="X993" s="16"/>
      <c r="Y993" s="16"/>
    </row>
    <row r="994" ht="15.75" customHeight="1">
      <c r="X994" s="16"/>
      <c r="Y994" s="16"/>
    </row>
    <row r="995" ht="15.75" customHeight="1">
      <c r="X995" s="16"/>
      <c r="Y995" s="16"/>
    </row>
    <row r="996" ht="15.75" customHeight="1">
      <c r="X996" s="16"/>
      <c r="Y996" s="16"/>
    </row>
    <row r="997" ht="15.75" customHeight="1">
      <c r="X997" s="16"/>
      <c r="Y997" s="16"/>
    </row>
    <row r="998" ht="15.75" customHeight="1">
      <c r="X998" s="16"/>
      <c r="Y998" s="16"/>
    </row>
    <row r="999" ht="15.75" customHeight="1">
      <c r="X999" s="16"/>
      <c r="Y999" s="16"/>
    </row>
    <row r="1000" ht="15.75" customHeight="1">
      <c r="X1000" s="16"/>
      <c r="Y1000" s="16"/>
    </row>
  </sheetData>
  <conditionalFormatting sqref="K2:K45">
    <cfRule type="colorScale" priority="1">
      <colorScale>
        <cfvo type="formula" val="1"/>
        <cfvo type="formula" val="3"/>
        <cfvo type="formula" val="5"/>
        <color rgb="FFFFFFFF"/>
        <color rgb="FFFFE699"/>
        <color rgb="FFE06666"/>
      </colorScale>
    </cfRule>
  </conditionalFormatting>
  <conditionalFormatting sqref="M2:M45">
    <cfRule type="colorScale" priority="2">
      <colorScale>
        <cfvo type="formula" val="0"/>
        <cfvo type="formula" val="40"/>
        <cfvo type="formula" val="70"/>
        <color rgb="FFFFFFFF"/>
        <color rgb="FFC6EFCE"/>
        <color rgb="FF63BE7B"/>
      </colorScale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0.0"/>
    <col customWidth="1" min="2" max="2" width="10.0"/>
    <col customWidth="1" min="3" max="4" width="14.0"/>
    <col customWidth="1" min="5" max="5" width="12.0"/>
    <col customWidth="1" min="6" max="6" width="10.0"/>
    <col customWidth="1" min="7" max="7" width="16.0"/>
    <col customWidth="1" min="8" max="8" width="22.0"/>
    <col customWidth="1" min="9" max="26" width="8.71"/>
  </cols>
  <sheetData>
    <row r="1">
      <c r="A1" s="40" t="s">
        <v>497</v>
      </c>
    </row>
    <row r="3" ht="42.0" customHeight="1">
      <c r="A3" s="2" t="s">
        <v>4</v>
      </c>
      <c r="B3" s="2" t="s">
        <v>498</v>
      </c>
      <c r="C3" s="1" t="s">
        <v>499</v>
      </c>
      <c r="D3" s="1" t="s">
        <v>500</v>
      </c>
      <c r="E3" s="2" t="s">
        <v>501</v>
      </c>
      <c r="F3" s="2" t="s">
        <v>502</v>
      </c>
      <c r="G3" s="2" t="s">
        <v>503</v>
      </c>
      <c r="H3" s="2" t="s">
        <v>504</v>
      </c>
    </row>
    <row r="4">
      <c r="A4" s="41" t="s">
        <v>505</v>
      </c>
      <c r="B4" s="42">
        <f>COUNTIF('調査業務リスト'!E2:E46,"(1) 政策及び制度調査")</f>
        <v>14</v>
      </c>
      <c r="C4" s="43">
        <f>SUMIF('調査業務リスト'!E2:E46,"(1) 政策及び制度調査",'調査業務リスト'!L2:L46)</f>
        <v>41</v>
      </c>
      <c r="D4" s="43">
        <f>SUMIF('調査業務リスト'!E2:E46,"(1) 政策及び制度調査",'調査業務リスト'!O2:O46)</f>
        <v>16.5</v>
      </c>
      <c r="E4" s="43">
        <f t="shared" ref="E4:E8" si="1">C4-D4</f>
        <v>24.5</v>
      </c>
      <c r="F4" s="44">
        <f t="shared" ref="F4:F8" si="2">IFERROR(E4/C4,0)</f>
        <v>0.5975609756</v>
      </c>
      <c r="G4" s="45">
        <f>SUMIF('調査業務リスト'!E2:E46,"(1) 政策及び制度調査",'調査業務リスト'!S2:S46)</f>
        <v>660000</v>
      </c>
      <c r="H4" s="45">
        <f>SUMIF('調査業務リスト'!E2:E46,"(1) 政策及び制度調査",'調査業務リスト'!V2:V46)</f>
        <v>660000</v>
      </c>
    </row>
    <row r="5">
      <c r="A5" s="46" t="s">
        <v>506</v>
      </c>
      <c r="B5" s="42">
        <f>COUNTIF('調査業務リスト'!E2:E46,"(2) 技術及び手法の調査")</f>
        <v>9</v>
      </c>
      <c r="C5" s="43">
        <f>SUMIF('調査業務リスト'!E2:E46,"(2) 技術及び手法の調査",'調査業務リスト'!L2:L46)</f>
        <v>30</v>
      </c>
      <c r="D5" s="43">
        <f>SUMIF('調査業務リスト'!E2:E46,"(2) 技術及び手法の調査",'調査業務リスト'!O2:O46)</f>
        <v>17.5</v>
      </c>
      <c r="E5" s="43">
        <f t="shared" si="1"/>
        <v>12.5</v>
      </c>
      <c r="F5" s="44">
        <f t="shared" si="2"/>
        <v>0.4166666667</v>
      </c>
      <c r="G5" s="45">
        <f>SUMIF('調査業務リスト'!E2:E46,"(2) 技術及び手法の調査",'調査業務リスト'!S2:S46)</f>
        <v>700000</v>
      </c>
      <c r="H5" s="45">
        <f>SUMIF('調査業務リスト'!E2:E46,"(2) 技術及び手法の調査",'調査業務リスト'!V2:V46)</f>
        <v>700000</v>
      </c>
    </row>
    <row r="6">
      <c r="A6" s="47" t="s">
        <v>507</v>
      </c>
      <c r="B6" s="42">
        <f>COUNTIF('調査業務リスト'!E2:E46,"(3) 制度を支える情報基盤の構造把握")</f>
        <v>10</v>
      </c>
      <c r="C6" s="43">
        <f>SUMIF('調査業務リスト'!E2:E46,"(3) 制度を支える情報基盤の構造把握",'調査業務リスト'!L2:L46)</f>
        <v>32</v>
      </c>
      <c r="D6" s="43">
        <f>SUMIF('調査業務リスト'!E2:E46,"(3) 制度を支える情報基盤の構造把握",'調査業務リスト'!O2:O46)</f>
        <v>13.5</v>
      </c>
      <c r="E6" s="43">
        <f t="shared" si="1"/>
        <v>18.5</v>
      </c>
      <c r="F6" s="44">
        <f t="shared" si="2"/>
        <v>0.578125</v>
      </c>
      <c r="G6" s="45">
        <f>SUMIF('調査業務リスト'!E2:E46,"(3) 制度を支える情報基盤の構造把握",'調査業務リスト'!S2:S46)</f>
        <v>540000</v>
      </c>
      <c r="H6" s="45">
        <f>SUMIF('調査業務リスト'!E2:E46,"(3) 制度を支える情報基盤の構造把握",'調査業務リスト'!V2:V46)</f>
        <v>540000</v>
      </c>
    </row>
    <row r="7">
      <c r="A7" s="48" t="s">
        <v>508</v>
      </c>
      <c r="B7" s="42">
        <f>COUNTIF('調査業務リスト'!E2:E46,"(4) 関係機関及び専門家調査")</f>
        <v>11</v>
      </c>
      <c r="C7" s="43">
        <f>SUMIF('調査業務リスト'!E2:E46,"(4) 関係機関及び専門家調査",'調査業務リスト'!L2:L46)</f>
        <v>18</v>
      </c>
      <c r="D7" s="43">
        <f>SUMIF('調査業務リスト'!E2:E46,"(4) 関係機関及び専門家調査",'調査業務リスト'!O2:O46)</f>
        <v>11</v>
      </c>
      <c r="E7" s="43">
        <f t="shared" si="1"/>
        <v>7</v>
      </c>
      <c r="F7" s="44">
        <f t="shared" si="2"/>
        <v>0.3888888889</v>
      </c>
      <c r="G7" s="45">
        <f>SUMIF('調査業務リスト'!E2:E46,"(4) 関係機関及び専門家調査",'調査業務リスト'!S2:S46)</f>
        <v>550000</v>
      </c>
      <c r="H7" s="45">
        <f>SUMIF('調査業務リスト'!E2:E46,"(4) 関係機関及び専門家調査",'調査業務リスト'!V2:V46)</f>
        <v>720000</v>
      </c>
    </row>
    <row r="8">
      <c r="A8" s="49" t="s">
        <v>509</v>
      </c>
      <c r="B8" s="42">
        <f>COUNTIF('調査業務リスト'!E2:E46,"横断業務 (統合・PMO)")</f>
        <v>1</v>
      </c>
      <c r="C8" s="43">
        <f>SUMIF('調査業務リスト'!E2:E46,"横断業務 (統合・PMO)",'調査業務リスト'!L2:L46)</f>
        <v>8</v>
      </c>
      <c r="D8" s="43">
        <f>SUMIF('調査業務リスト'!E2:E46,"横断業務 (統合・PMO)",'調査業務リスト'!O2:O46)</f>
        <v>3</v>
      </c>
      <c r="E8" s="43">
        <f t="shared" si="1"/>
        <v>5</v>
      </c>
      <c r="F8" s="44">
        <f t="shared" si="2"/>
        <v>0.625</v>
      </c>
      <c r="G8" s="45">
        <f>SUMIF('調査業務リスト'!E2:E46,"横断業務 (統合・PMO)",'調査業務リスト'!S2:S46)</f>
        <v>150000</v>
      </c>
      <c r="H8" s="45">
        <f>SUMIF('調査業務リスト'!E2:E46,"横断業務 (統合・PMO)",'調査業務リスト'!V2:V46)</f>
        <v>150000</v>
      </c>
    </row>
    <row r="9">
      <c r="A9" s="50" t="s">
        <v>510</v>
      </c>
      <c r="B9" s="51">
        <v>1.0</v>
      </c>
      <c r="C9" s="51">
        <v>0.0</v>
      </c>
      <c r="D9" s="51">
        <v>0.0</v>
      </c>
      <c r="E9" s="51">
        <v>0.0</v>
      </c>
      <c r="F9" s="52">
        <v>0.0</v>
      </c>
      <c r="G9" s="53">
        <v>0.0</v>
      </c>
      <c r="H9" s="53">
        <v>45000.0</v>
      </c>
    </row>
    <row r="10">
      <c r="A10" s="54" t="s">
        <v>485</v>
      </c>
      <c r="B10" s="55">
        <f t="shared" ref="B10:E10" si="3">SUM(B4:B9)</f>
        <v>46</v>
      </c>
      <c r="C10" s="56">
        <f t="shared" si="3"/>
        <v>129</v>
      </c>
      <c r="D10" s="56">
        <f t="shared" si="3"/>
        <v>61.5</v>
      </c>
      <c r="E10" s="56">
        <f t="shared" si="3"/>
        <v>67.5</v>
      </c>
      <c r="F10" s="57">
        <f>IFERROR(E10/C10,0)</f>
        <v>0.523255814</v>
      </c>
      <c r="G10" s="30">
        <f t="shared" ref="G10:H10" si="4">SUM(G4:G9)</f>
        <v>2600000</v>
      </c>
      <c r="H10" s="30">
        <f t="shared" si="4"/>
        <v>2815000</v>
      </c>
    </row>
    <row r="12">
      <c r="A12" s="32" t="s">
        <v>486</v>
      </c>
      <c r="H12" s="33">
        <v>3000000.0</v>
      </c>
    </row>
    <row r="13">
      <c r="A13" s="32" t="s">
        <v>511</v>
      </c>
      <c r="H13" s="58">
        <f>H12-H10</f>
        <v>185000</v>
      </c>
    </row>
    <row r="14">
      <c r="A14" s="32" t="s">
        <v>488</v>
      </c>
      <c r="H14" s="59">
        <f>H10/H12</f>
        <v>0.9383333333</v>
      </c>
    </row>
    <row r="16">
      <c r="A16" s="32" t="s">
        <v>489</v>
      </c>
    </row>
    <row r="17">
      <c r="A17" s="17" t="s">
        <v>512</v>
      </c>
      <c r="D17" s="60">
        <v>13.5</v>
      </c>
      <c r="E17" s="38" t="s">
        <v>491</v>
      </c>
    </row>
    <row r="18">
      <c r="A18" s="17" t="s">
        <v>513</v>
      </c>
      <c r="D18" s="60">
        <v>20.25</v>
      </c>
      <c r="E18" s="38" t="s">
        <v>491</v>
      </c>
    </row>
    <row r="19">
      <c r="A19" s="17" t="s">
        <v>514</v>
      </c>
      <c r="D19" s="60">
        <v>9.0</v>
      </c>
      <c r="E19" s="38" t="s">
        <v>491</v>
      </c>
    </row>
    <row r="20">
      <c r="A20" s="32" t="s">
        <v>494</v>
      </c>
      <c r="D20" s="61">
        <f>D17+D18+D19</f>
        <v>42.75</v>
      </c>
      <c r="E20" s="38" t="s">
        <v>491</v>
      </c>
    </row>
    <row r="21" ht="15.75" customHeight="1">
      <c r="A21" s="32" t="s">
        <v>515</v>
      </c>
      <c r="D21" s="61">
        <f>D10</f>
        <v>61.5</v>
      </c>
      <c r="E21" s="38" t="s">
        <v>491</v>
      </c>
    </row>
    <row r="22" ht="15.75" customHeight="1">
      <c r="A22" s="32" t="s">
        <v>516</v>
      </c>
      <c r="D22" s="62">
        <f>D20-D21</f>
        <v>-18.75</v>
      </c>
      <c r="E22" s="38" t="s">
        <v>491</v>
      </c>
    </row>
    <row r="23" ht="15.75" customHeight="1">
      <c r="A23" s="63" t="s">
        <v>517</v>
      </c>
    </row>
    <row r="24" ht="15.0" customHeight="1">
      <c r="A24" s="64" t="s">
        <v>518</v>
      </c>
    </row>
    <row r="25" ht="15.0" customHeight="1">
      <c r="A25" s="65" t="s">
        <v>519</v>
      </c>
    </row>
    <row r="26" ht="15.0" customHeight="1">
      <c r="A26" s="66" t="s">
        <v>520</v>
      </c>
    </row>
    <row r="27" ht="15.75" customHeight="1">
      <c r="A27" s="65"/>
    </row>
    <row r="28" ht="15.0" customHeight="1">
      <c r="A28" s="64" t="s">
        <v>521</v>
      </c>
    </row>
    <row r="29" ht="15.0" customHeight="1">
      <c r="A29" s="65" t="s">
        <v>522</v>
      </c>
    </row>
    <row r="30" ht="15.0" customHeight="1">
      <c r="A30" s="66" t="s">
        <v>523</v>
      </c>
    </row>
    <row r="31" ht="15.75" customHeight="1">
      <c r="A31" s="65"/>
    </row>
    <row r="32" ht="15.0" customHeight="1">
      <c r="A32" s="64" t="s">
        <v>524</v>
      </c>
    </row>
    <row r="33" ht="15.0" customHeight="1">
      <c r="A33" s="65" t="s">
        <v>525</v>
      </c>
    </row>
    <row r="34" ht="15.0" customHeight="1">
      <c r="A34" s="66" t="s">
        <v>526</v>
      </c>
    </row>
    <row r="35" ht="15.75" customHeight="1">
      <c r="A35" s="65"/>
    </row>
    <row r="36" ht="15.0" customHeight="1">
      <c r="A36" s="64" t="s">
        <v>527</v>
      </c>
    </row>
    <row r="37" ht="15.0" customHeight="1">
      <c r="A37" s="65" t="s">
        <v>528</v>
      </c>
    </row>
    <row r="38" ht="15.0" customHeight="1">
      <c r="A38" s="66" t="s">
        <v>529</v>
      </c>
    </row>
    <row r="39" ht="15.75" customHeight="1">
      <c r="A39" s="65"/>
    </row>
    <row r="40" ht="15.0" customHeight="1">
      <c r="A40" s="64" t="s">
        <v>530</v>
      </c>
    </row>
    <row r="41" ht="15.0" customHeight="1">
      <c r="A41" s="66" t="s">
        <v>531</v>
      </c>
    </row>
    <row r="42" ht="15.0" customHeight="1">
      <c r="A42" s="66" t="s">
        <v>532</v>
      </c>
    </row>
    <row r="43" ht="15.0" customHeight="1">
      <c r="A43" s="66" t="s">
        <v>533</v>
      </c>
    </row>
    <row r="44" ht="15.0" customHeight="1">
      <c r="A44" s="66" t="s">
        <v>534</v>
      </c>
    </row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2">
    <mergeCell ref="A1:H1"/>
    <mergeCell ref="A24:H24"/>
    <mergeCell ref="A25:H25"/>
    <mergeCell ref="A26:H26"/>
    <mergeCell ref="A27:H27"/>
    <mergeCell ref="A28:H28"/>
    <mergeCell ref="A29:H29"/>
    <mergeCell ref="A37:H37"/>
    <mergeCell ref="A38:H38"/>
    <mergeCell ref="A39:H39"/>
    <mergeCell ref="A40:H40"/>
    <mergeCell ref="A41:H41"/>
    <mergeCell ref="A42:H42"/>
    <mergeCell ref="A43:H43"/>
    <mergeCell ref="A44:H44"/>
    <mergeCell ref="A30:H30"/>
    <mergeCell ref="A31:H31"/>
    <mergeCell ref="A32:H32"/>
    <mergeCell ref="A33:H33"/>
    <mergeCell ref="A34:H34"/>
    <mergeCell ref="A35:H35"/>
    <mergeCell ref="A36:H36"/>
  </mergeCells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2.0"/>
    <col customWidth="1" min="2" max="2" width="28.0"/>
    <col customWidth="1" min="3" max="3" width="70.0"/>
    <col customWidth="1" min="4" max="4" width="14.0"/>
    <col customWidth="1" min="5" max="26" width="8.71"/>
  </cols>
  <sheetData>
    <row r="1">
      <c r="A1" s="40" t="s">
        <v>535</v>
      </c>
    </row>
    <row r="3">
      <c r="A3" s="67" t="s">
        <v>536</v>
      </c>
      <c r="B3" s="67" t="s">
        <v>537</v>
      </c>
      <c r="C3" s="67" t="s">
        <v>538</v>
      </c>
      <c r="D3" s="67" t="s">
        <v>539</v>
      </c>
    </row>
    <row r="4" ht="60.0" customHeight="1">
      <c r="A4" s="68" t="s">
        <v>540</v>
      </c>
      <c r="B4" s="69" t="s">
        <v>541</v>
      </c>
      <c r="C4" s="70" t="s">
        <v>542</v>
      </c>
      <c r="D4" s="70" t="s">
        <v>543</v>
      </c>
    </row>
    <row r="5" ht="60.0" customHeight="1">
      <c r="A5" s="68" t="s">
        <v>544</v>
      </c>
      <c r="B5" s="69" t="s">
        <v>545</v>
      </c>
      <c r="C5" s="70" t="s">
        <v>546</v>
      </c>
      <c r="D5" s="70" t="s">
        <v>547</v>
      </c>
    </row>
    <row r="6" ht="60.0" customHeight="1">
      <c r="A6" s="68" t="s">
        <v>548</v>
      </c>
      <c r="B6" s="69" t="s">
        <v>549</v>
      </c>
      <c r="C6" s="70" t="s">
        <v>550</v>
      </c>
      <c r="D6" s="70" t="s">
        <v>551</v>
      </c>
    </row>
    <row r="7" ht="60.0" customHeight="1">
      <c r="A7" s="68" t="s">
        <v>552</v>
      </c>
      <c r="B7" s="69" t="s">
        <v>553</v>
      </c>
      <c r="C7" s="70" t="s">
        <v>554</v>
      </c>
      <c r="D7" s="70" t="s">
        <v>555</v>
      </c>
    </row>
    <row r="10">
      <c r="A10" s="32" t="s">
        <v>556</v>
      </c>
    </row>
    <row r="11" ht="15.0" customHeight="1">
      <c r="A11" s="66" t="s">
        <v>557</v>
      </c>
    </row>
    <row r="12" ht="15.0" customHeight="1">
      <c r="A12" s="66" t="s">
        <v>558</v>
      </c>
    </row>
    <row r="13" ht="15.0" customHeight="1">
      <c r="A13" s="66" t="s">
        <v>559</v>
      </c>
    </row>
    <row r="14" ht="15.0" customHeight="1">
      <c r="A14" s="66" t="s">
        <v>560</v>
      </c>
    </row>
    <row r="15" ht="15.0" customHeight="1">
      <c r="A15" s="66" t="s">
        <v>561</v>
      </c>
    </row>
    <row r="16" ht="15.0" customHeight="1">
      <c r="A16" s="66" t="s">
        <v>562</v>
      </c>
    </row>
    <row r="17" ht="15.0" customHeight="1">
      <c r="A17" s="66" t="s">
        <v>563</v>
      </c>
    </row>
    <row r="18" ht="15.0" customHeight="1">
      <c r="A18" s="66" t="s">
        <v>564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">
    <mergeCell ref="A17:D17"/>
    <mergeCell ref="A18:D18"/>
    <mergeCell ref="A1:H1"/>
    <mergeCell ref="A11:D11"/>
    <mergeCell ref="A12:D12"/>
    <mergeCell ref="A13:D13"/>
    <mergeCell ref="A14:D14"/>
    <mergeCell ref="A15:D15"/>
    <mergeCell ref="A16:D16"/>
  </mergeCells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5.0" ySplit="4.0" topLeftCell="F5" activePane="bottomRight" state="frozen"/>
      <selection activeCell="F1" sqref="F1" pane="topRight"/>
      <selection activeCell="A5" sqref="A5" pane="bottomLeft"/>
      <selection activeCell="F5" sqref="F5" pane="bottomRight"/>
    </sheetView>
  </sheetViews>
  <sheetFormatPr customHeight="1" defaultColWidth="14.43" defaultRowHeight="15.0"/>
  <cols>
    <col customWidth="1" min="1" max="1" width="5.0"/>
    <col customWidth="1" min="2" max="2" width="20.0"/>
    <col customWidth="1" min="3" max="3" width="28.0"/>
    <col customWidth="1" min="4" max="4" width="6.0"/>
    <col customWidth="1" min="5" max="5" width="38.0"/>
    <col customWidth="1" min="6" max="6" width="9.0"/>
    <col customWidth="1" min="7" max="7" width="11.0"/>
    <col customWidth="1" min="8" max="8" width="10.0"/>
    <col customWidth="1" min="9" max="9" width="32.0"/>
    <col customWidth="1" min="10" max="10" width="11.0"/>
    <col customWidth="1" min="11" max="11" width="12.0"/>
    <col customWidth="1" min="12" max="12" width="13.0"/>
    <col customWidth="1" min="13" max="13" width="12.0"/>
    <col customWidth="1" min="14" max="14" width="15.0"/>
    <col customWidth="1" min="15" max="15" width="32.0"/>
    <col customWidth="1" min="16" max="26" width="8.71"/>
  </cols>
  <sheetData>
    <row r="1">
      <c r="A1" s="40" t="s">
        <v>565</v>
      </c>
    </row>
    <row r="2">
      <c r="A2" s="71" t="s">
        <v>566</v>
      </c>
    </row>
    <row r="4" ht="45.0" customHeight="1">
      <c r="A4" s="1" t="s">
        <v>0</v>
      </c>
      <c r="B4" s="2" t="s">
        <v>4</v>
      </c>
      <c r="C4" s="2" t="s">
        <v>567</v>
      </c>
      <c r="D4" s="2" t="s">
        <v>568</v>
      </c>
      <c r="E4" s="2" t="s">
        <v>8</v>
      </c>
      <c r="F4" s="2" t="s">
        <v>569</v>
      </c>
      <c r="G4" s="1" t="s">
        <v>570</v>
      </c>
      <c r="H4" s="1" t="s">
        <v>571</v>
      </c>
      <c r="I4" s="1" t="s">
        <v>572</v>
      </c>
      <c r="J4" s="1" t="s">
        <v>573</v>
      </c>
      <c r="K4" s="2" t="s">
        <v>574</v>
      </c>
      <c r="L4" s="2" t="s">
        <v>575</v>
      </c>
      <c r="M4" s="2" t="s">
        <v>576</v>
      </c>
      <c r="N4" s="2" t="s">
        <v>577</v>
      </c>
      <c r="O4" s="2" t="s">
        <v>578</v>
      </c>
    </row>
    <row r="5">
      <c r="A5" s="72">
        <v>1.0</v>
      </c>
      <c r="B5" s="6" t="s">
        <v>579</v>
      </c>
      <c r="C5" s="22" t="s">
        <v>580</v>
      </c>
      <c r="D5" s="73" t="s">
        <v>32</v>
      </c>
      <c r="E5" s="13" t="s">
        <v>581</v>
      </c>
      <c r="F5" s="7">
        <v>5.0</v>
      </c>
      <c r="G5" s="7">
        <v>3.0</v>
      </c>
      <c r="H5" s="8">
        <v>60.0</v>
      </c>
      <c r="I5" s="9" t="s">
        <v>582</v>
      </c>
      <c r="J5" s="10">
        <f t="shared" ref="J5:J22" si="1">ROUND(G5*(1-H5/100)*2,0)/2</f>
        <v>1</v>
      </c>
      <c r="K5" s="11">
        <v>40000.0</v>
      </c>
      <c r="L5" s="12">
        <f t="shared" ref="L5:L22" si="2">J5*K5</f>
        <v>40000</v>
      </c>
      <c r="M5" s="11">
        <v>0.0</v>
      </c>
      <c r="N5" s="12">
        <f t="shared" ref="N5:N23" si="3">L5+M5</f>
        <v>40000</v>
      </c>
      <c r="O5" s="14" t="s">
        <v>583</v>
      </c>
    </row>
    <row r="6">
      <c r="A6" s="72">
        <v>2.0</v>
      </c>
      <c r="B6" s="6" t="s">
        <v>584</v>
      </c>
      <c r="C6" s="22" t="s">
        <v>580</v>
      </c>
      <c r="D6" s="73" t="s">
        <v>44</v>
      </c>
      <c r="E6" s="22" t="s">
        <v>45</v>
      </c>
      <c r="F6" s="7">
        <v>5.0</v>
      </c>
      <c r="G6" s="7">
        <v>4.0</v>
      </c>
      <c r="H6" s="8">
        <v>60.0</v>
      </c>
      <c r="I6" s="9" t="s">
        <v>585</v>
      </c>
      <c r="J6" s="10">
        <f t="shared" si="1"/>
        <v>1.5</v>
      </c>
      <c r="K6" s="11">
        <v>40000.0</v>
      </c>
      <c r="L6" s="12">
        <f t="shared" si="2"/>
        <v>60000</v>
      </c>
      <c r="M6" s="11">
        <v>0.0</v>
      </c>
      <c r="N6" s="12">
        <f t="shared" si="3"/>
        <v>60000</v>
      </c>
      <c r="O6" s="14" t="s">
        <v>586</v>
      </c>
    </row>
    <row r="7">
      <c r="A7" s="72">
        <v>3.0</v>
      </c>
      <c r="B7" s="6" t="s">
        <v>587</v>
      </c>
      <c r="C7" s="22" t="s">
        <v>588</v>
      </c>
      <c r="D7" s="73" t="s">
        <v>32</v>
      </c>
      <c r="E7" s="22" t="s">
        <v>115</v>
      </c>
      <c r="F7" s="7">
        <v>5.0</v>
      </c>
      <c r="G7" s="7">
        <v>3.0</v>
      </c>
      <c r="H7" s="8">
        <v>65.0</v>
      </c>
      <c r="I7" s="9" t="s">
        <v>589</v>
      </c>
      <c r="J7" s="10">
        <f t="shared" si="1"/>
        <v>1</v>
      </c>
      <c r="K7" s="11">
        <v>40000.0</v>
      </c>
      <c r="L7" s="12">
        <f t="shared" si="2"/>
        <v>40000</v>
      </c>
      <c r="M7" s="11">
        <v>0.0</v>
      </c>
      <c r="N7" s="12">
        <f t="shared" si="3"/>
        <v>40000</v>
      </c>
      <c r="O7" s="14"/>
    </row>
    <row r="8">
      <c r="A8" s="72">
        <v>4.0</v>
      </c>
      <c r="B8" s="6" t="s">
        <v>590</v>
      </c>
      <c r="C8" s="22" t="s">
        <v>591</v>
      </c>
      <c r="D8" s="73" t="s">
        <v>44</v>
      </c>
      <c r="E8" s="22" t="s">
        <v>124</v>
      </c>
      <c r="F8" s="7">
        <v>5.0</v>
      </c>
      <c r="G8" s="7">
        <v>4.0</v>
      </c>
      <c r="H8" s="8">
        <v>50.0</v>
      </c>
      <c r="I8" s="9" t="s">
        <v>592</v>
      </c>
      <c r="J8" s="10">
        <f t="shared" si="1"/>
        <v>2</v>
      </c>
      <c r="K8" s="11">
        <v>40000.0</v>
      </c>
      <c r="L8" s="12">
        <f t="shared" si="2"/>
        <v>80000</v>
      </c>
      <c r="M8" s="11">
        <v>0.0</v>
      </c>
      <c r="N8" s="12">
        <f t="shared" si="3"/>
        <v>80000</v>
      </c>
      <c r="O8" s="14" t="s">
        <v>128</v>
      </c>
    </row>
    <row r="9">
      <c r="A9" s="72">
        <v>5.0</v>
      </c>
      <c r="B9" s="6" t="s">
        <v>593</v>
      </c>
      <c r="C9" s="22" t="s">
        <v>143</v>
      </c>
      <c r="D9" s="73" t="s">
        <v>32</v>
      </c>
      <c r="E9" s="22" t="s">
        <v>144</v>
      </c>
      <c r="F9" s="7">
        <v>5.0</v>
      </c>
      <c r="G9" s="7">
        <v>4.0</v>
      </c>
      <c r="H9" s="8">
        <v>50.0</v>
      </c>
      <c r="I9" s="9" t="s">
        <v>594</v>
      </c>
      <c r="J9" s="10">
        <f t="shared" si="1"/>
        <v>2</v>
      </c>
      <c r="K9" s="11">
        <v>40000.0</v>
      </c>
      <c r="L9" s="12">
        <f t="shared" si="2"/>
        <v>80000</v>
      </c>
      <c r="M9" s="11">
        <v>0.0</v>
      </c>
      <c r="N9" s="12">
        <f t="shared" si="3"/>
        <v>80000</v>
      </c>
      <c r="O9" s="14" t="s">
        <v>148</v>
      </c>
    </row>
    <row r="10">
      <c r="A10" s="72">
        <v>6.0</v>
      </c>
      <c r="B10" s="6" t="s">
        <v>595</v>
      </c>
      <c r="C10" s="22" t="s">
        <v>143</v>
      </c>
      <c r="D10" s="73" t="s">
        <v>44</v>
      </c>
      <c r="E10" s="22" t="s">
        <v>153</v>
      </c>
      <c r="F10" s="7">
        <v>5.0</v>
      </c>
      <c r="G10" s="7">
        <v>3.0</v>
      </c>
      <c r="H10" s="8">
        <v>65.0</v>
      </c>
      <c r="I10" s="9" t="s">
        <v>596</v>
      </c>
      <c r="J10" s="10">
        <f t="shared" si="1"/>
        <v>1</v>
      </c>
      <c r="K10" s="11">
        <v>40000.0</v>
      </c>
      <c r="L10" s="12">
        <f t="shared" si="2"/>
        <v>40000</v>
      </c>
      <c r="M10" s="11">
        <v>0.0</v>
      </c>
      <c r="N10" s="12">
        <f t="shared" si="3"/>
        <v>40000</v>
      </c>
      <c r="O10" s="14"/>
    </row>
    <row r="11">
      <c r="A11" s="72">
        <v>7.0</v>
      </c>
      <c r="B11" s="18" t="s">
        <v>597</v>
      </c>
      <c r="C11" s="22" t="s">
        <v>598</v>
      </c>
      <c r="D11" s="73" t="s">
        <v>32</v>
      </c>
      <c r="E11" s="22" t="s">
        <v>599</v>
      </c>
      <c r="F11" s="7">
        <v>5.0</v>
      </c>
      <c r="G11" s="7">
        <v>3.0</v>
      </c>
      <c r="H11" s="8">
        <v>40.0</v>
      </c>
      <c r="I11" s="9" t="s">
        <v>600</v>
      </c>
      <c r="J11" s="10">
        <f t="shared" si="1"/>
        <v>2</v>
      </c>
      <c r="K11" s="11">
        <v>40000.0</v>
      </c>
      <c r="L11" s="12">
        <f t="shared" si="2"/>
        <v>80000</v>
      </c>
      <c r="M11" s="11">
        <v>0.0</v>
      </c>
      <c r="N11" s="12">
        <f t="shared" si="3"/>
        <v>80000</v>
      </c>
      <c r="O11" s="14" t="s">
        <v>174</v>
      </c>
    </row>
    <row r="12">
      <c r="A12" s="72">
        <v>8.0</v>
      </c>
      <c r="B12" s="18" t="s">
        <v>601</v>
      </c>
      <c r="C12" s="22" t="s">
        <v>602</v>
      </c>
      <c r="D12" s="73" t="s">
        <v>44</v>
      </c>
      <c r="E12" s="22" t="s">
        <v>180</v>
      </c>
      <c r="F12" s="7">
        <v>5.0</v>
      </c>
      <c r="G12" s="7">
        <v>3.0</v>
      </c>
      <c r="H12" s="8">
        <v>40.0</v>
      </c>
      <c r="I12" s="9" t="s">
        <v>603</v>
      </c>
      <c r="J12" s="10">
        <f t="shared" si="1"/>
        <v>2</v>
      </c>
      <c r="K12" s="11">
        <v>40000.0</v>
      </c>
      <c r="L12" s="12">
        <f t="shared" si="2"/>
        <v>80000</v>
      </c>
      <c r="M12" s="11">
        <v>0.0</v>
      </c>
      <c r="N12" s="12">
        <f t="shared" si="3"/>
        <v>80000</v>
      </c>
      <c r="O12" s="14"/>
    </row>
    <row r="13">
      <c r="A13" s="72">
        <v>9.0</v>
      </c>
      <c r="B13" s="18" t="s">
        <v>604</v>
      </c>
      <c r="C13" s="22" t="s">
        <v>605</v>
      </c>
      <c r="D13" s="73" t="s">
        <v>55</v>
      </c>
      <c r="E13" s="22" t="s">
        <v>606</v>
      </c>
      <c r="F13" s="7">
        <v>5.0</v>
      </c>
      <c r="G13" s="7">
        <v>4.0</v>
      </c>
      <c r="H13" s="8">
        <v>50.0</v>
      </c>
      <c r="I13" s="9" t="s">
        <v>607</v>
      </c>
      <c r="J13" s="10">
        <f t="shared" si="1"/>
        <v>2</v>
      </c>
      <c r="K13" s="11">
        <v>40000.0</v>
      </c>
      <c r="L13" s="12">
        <f t="shared" si="2"/>
        <v>80000</v>
      </c>
      <c r="M13" s="11">
        <v>0.0</v>
      </c>
      <c r="N13" s="12">
        <f t="shared" si="3"/>
        <v>80000</v>
      </c>
      <c r="O13" s="14" t="s">
        <v>608</v>
      </c>
    </row>
    <row r="14">
      <c r="A14" s="72">
        <v>10.0</v>
      </c>
      <c r="B14" s="18" t="s">
        <v>609</v>
      </c>
      <c r="C14" s="22" t="s">
        <v>198</v>
      </c>
      <c r="D14" s="73" t="s">
        <v>32</v>
      </c>
      <c r="E14" s="22" t="s">
        <v>199</v>
      </c>
      <c r="F14" s="7">
        <v>5.0</v>
      </c>
      <c r="G14" s="7">
        <v>4.0</v>
      </c>
      <c r="H14" s="8">
        <v>30.0</v>
      </c>
      <c r="I14" s="9" t="s">
        <v>610</v>
      </c>
      <c r="J14" s="10">
        <f t="shared" si="1"/>
        <v>3</v>
      </c>
      <c r="K14" s="11">
        <v>40000.0</v>
      </c>
      <c r="L14" s="12">
        <f t="shared" si="2"/>
        <v>120000</v>
      </c>
      <c r="M14" s="11">
        <v>0.0</v>
      </c>
      <c r="N14" s="12">
        <f t="shared" si="3"/>
        <v>120000</v>
      </c>
      <c r="O14" s="14" t="s">
        <v>203</v>
      </c>
    </row>
    <row r="15">
      <c r="A15" s="72">
        <v>11.0</v>
      </c>
      <c r="B15" s="18" t="s">
        <v>611</v>
      </c>
      <c r="C15" s="22" t="s">
        <v>198</v>
      </c>
      <c r="D15" s="73" t="s">
        <v>44</v>
      </c>
      <c r="E15" s="22" t="s">
        <v>208</v>
      </c>
      <c r="F15" s="7">
        <v>5.0</v>
      </c>
      <c r="G15" s="7">
        <v>4.0</v>
      </c>
      <c r="H15" s="8">
        <v>40.0</v>
      </c>
      <c r="I15" s="9" t="s">
        <v>612</v>
      </c>
      <c r="J15" s="10">
        <f t="shared" si="1"/>
        <v>2.5</v>
      </c>
      <c r="K15" s="11">
        <v>40000.0</v>
      </c>
      <c r="L15" s="12">
        <f t="shared" si="2"/>
        <v>100000</v>
      </c>
      <c r="M15" s="11">
        <v>0.0</v>
      </c>
      <c r="N15" s="12">
        <f t="shared" si="3"/>
        <v>100000</v>
      </c>
      <c r="O15" s="14"/>
    </row>
    <row r="16">
      <c r="A16" s="72">
        <v>12.0</v>
      </c>
      <c r="B16" s="19" t="s">
        <v>613</v>
      </c>
      <c r="C16" s="22" t="s">
        <v>614</v>
      </c>
      <c r="D16" s="73" t="s">
        <v>32</v>
      </c>
      <c r="E16" s="13" t="s">
        <v>615</v>
      </c>
      <c r="F16" s="7">
        <v>5.0</v>
      </c>
      <c r="G16" s="7">
        <v>4.0</v>
      </c>
      <c r="H16" s="8">
        <v>70.0</v>
      </c>
      <c r="I16" s="9" t="s">
        <v>616</v>
      </c>
      <c r="J16" s="10">
        <f t="shared" si="1"/>
        <v>1</v>
      </c>
      <c r="K16" s="11">
        <v>40000.0</v>
      </c>
      <c r="L16" s="12">
        <f t="shared" si="2"/>
        <v>40000</v>
      </c>
      <c r="M16" s="11">
        <v>0.0</v>
      </c>
      <c r="N16" s="12">
        <f t="shared" si="3"/>
        <v>40000</v>
      </c>
      <c r="O16" s="20" t="s">
        <v>617</v>
      </c>
    </row>
    <row r="17">
      <c r="A17" s="72">
        <v>13.0</v>
      </c>
      <c r="B17" s="19" t="s">
        <v>618</v>
      </c>
      <c r="C17" s="22" t="s">
        <v>619</v>
      </c>
      <c r="D17" s="73" t="s">
        <v>44</v>
      </c>
      <c r="E17" s="22" t="s">
        <v>262</v>
      </c>
      <c r="F17" s="7">
        <v>5.0</v>
      </c>
      <c r="G17" s="7">
        <v>4.0</v>
      </c>
      <c r="H17" s="8">
        <v>65.0</v>
      </c>
      <c r="I17" s="9" t="s">
        <v>620</v>
      </c>
      <c r="J17" s="10">
        <f t="shared" si="1"/>
        <v>1.5</v>
      </c>
      <c r="K17" s="11">
        <v>40000.0</v>
      </c>
      <c r="L17" s="12">
        <f t="shared" si="2"/>
        <v>60000</v>
      </c>
      <c r="M17" s="11">
        <v>0.0</v>
      </c>
      <c r="N17" s="12">
        <f t="shared" si="3"/>
        <v>60000</v>
      </c>
      <c r="O17" s="14"/>
    </row>
    <row r="18">
      <c r="A18" s="72">
        <v>14.0</v>
      </c>
      <c r="B18" s="19" t="s">
        <v>621</v>
      </c>
      <c r="C18" s="22" t="s">
        <v>288</v>
      </c>
      <c r="D18" s="73" t="s">
        <v>32</v>
      </c>
      <c r="E18" s="22" t="s">
        <v>289</v>
      </c>
      <c r="F18" s="7">
        <v>5.0</v>
      </c>
      <c r="G18" s="7">
        <v>4.0</v>
      </c>
      <c r="H18" s="8">
        <v>40.0</v>
      </c>
      <c r="I18" s="9" t="s">
        <v>622</v>
      </c>
      <c r="J18" s="10">
        <f t="shared" si="1"/>
        <v>2.5</v>
      </c>
      <c r="K18" s="11">
        <v>40000.0</v>
      </c>
      <c r="L18" s="12">
        <f t="shared" si="2"/>
        <v>100000</v>
      </c>
      <c r="M18" s="11">
        <v>0.0</v>
      </c>
      <c r="N18" s="12">
        <f t="shared" si="3"/>
        <v>100000</v>
      </c>
      <c r="O18" s="14" t="s">
        <v>293</v>
      </c>
    </row>
    <row r="19">
      <c r="A19" s="72">
        <v>15.0</v>
      </c>
      <c r="B19" s="19" t="s">
        <v>623</v>
      </c>
      <c r="C19" s="22" t="s">
        <v>288</v>
      </c>
      <c r="D19" s="73" t="s">
        <v>44</v>
      </c>
      <c r="E19" s="22" t="s">
        <v>298</v>
      </c>
      <c r="F19" s="7">
        <v>5.0</v>
      </c>
      <c r="G19" s="7">
        <v>4.0</v>
      </c>
      <c r="H19" s="8">
        <v>50.0</v>
      </c>
      <c r="I19" s="9" t="s">
        <v>624</v>
      </c>
      <c r="J19" s="10">
        <f t="shared" si="1"/>
        <v>2</v>
      </c>
      <c r="K19" s="11">
        <v>40000.0</v>
      </c>
      <c r="L19" s="12">
        <f t="shared" si="2"/>
        <v>80000</v>
      </c>
      <c r="M19" s="11">
        <v>0.0</v>
      </c>
      <c r="N19" s="12">
        <f t="shared" si="3"/>
        <v>80000</v>
      </c>
      <c r="O19" s="14"/>
    </row>
    <row r="20">
      <c r="A20" s="72">
        <v>16.0</v>
      </c>
      <c r="B20" s="21" t="s">
        <v>625</v>
      </c>
      <c r="C20" s="22" t="s">
        <v>626</v>
      </c>
      <c r="D20" s="73" t="s">
        <v>32</v>
      </c>
      <c r="E20" s="22" t="s">
        <v>627</v>
      </c>
      <c r="F20" s="7">
        <v>5.0</v>
      </c>
      <c r="G20" s="7">
        <v>4.0</v>
      </c>
      <c r="H20" s="8">
        <v>30.0</v>
      </c>
      <c r="I20" s="9" t="s">
        <v>628</v>
      </c>
      <c r="J20" s="10">
        <f t="shared" si="1"/>
        <v>3</v>
      </c>
      <c r="K20" s="11">
        <v>50000.0</v>
      </c>
      <c r="L20" s="12">
        <f t="shared" si="2"/>
        <v>150000</v>
      </c>
      <c r="M20" s="11">
        <v>30000.0</v>
      </c>
      <c r="N20" s="12">
        <f t="shared" si="3"/>
        <v>180000</v>
      </c>
      <c r="O20" s="14" t="s">
        <v>629</v>
      </c>
    </row>
    <row r="21" ht="15.75" customHeight="1">
      <c r="A21" s="72">
        <v>17.0</v>
      </c>
      <c r="B21" s="21" t="s">
        <v>630</v>
      </c>
      <c r="C21" s="13" t="s">
        <v>631</v>
      </c>
      <c r="D21" s="73" t="s">
        <v>32</v>
      </c>
      <c r="E21" s="13" t="s">
        <v>632</v>
      </c>
      <c r="F21" s="7">
        <v>5.0</v>
      </c>
      <c r="G21" s="7">
        <v>3.0</v>
      </c>
      <c r="H21" s="8">
        <v>30.0</v>
      </c>
      <c r="I21" s="9" t="s">
        <v>633</v>
      </c>
      <c r="J21" s="10">
        <f t="shared" si="1"/>
        <v>2</v>
      </c>
      <c r="K21" s="11">
        <v>50000.0</v>
      </c>
      <c r="L21" s="12">
        <f t="shared" si="2"/>
        <v>100000</v>
      </c>
      <c r="M21" s="11">
        <v>30000.0</v>
      </c>
      <c r="N21" s="12">
        <f t="shared" si="3"/>
        <v>130000</v>
      </c>
      <c r="O21" s="14" t="s">
        <v>634</v>
      </c>
    </row>
    <row r="22" ht="15.75" customHeight="1">
      <c r="A22" s="72" t="s">
        <v>464</v>
      </c>
      <c r="B22" s="23" t="s">
        <v>635</v>
      </c>
      <c r="C22" s="22" t="s">
        <v>636</v>
      </c>
      <c r="D22" s="24" t="s">
        <v>469</v>
      </c>
      <c r="E22" s="22" t="s">
        <v>637</v>
      </c>
      <c r="F22" s="7">
        <v>5.0</v>
      </c>
      <c r="G22" s="7">
        <v>5.0</v>
      </c>
      <c r="H22" s="8">
        <v>60.0</v>
      </c>
      <c r="I22" s="9" t="s">
        <v>638</v>
      </c>
      <c r="J22" s="10">
        <f t="shared" si="1"/>
        <v>2</v>
      </c>
      <c r="K22" s="11">
        <v>50000.0</v>
      </c>
      <c r="L22" s="12">
        <f t="shared" si="2"/>
        <v>100000</v>
      </c>
      <c r="M22" s="11">
        <v>0.0</v>
      </c>
      <c r="N22" s="12">
        <f t="shared" si="3"/>
        <v>100000</v>
      </c>
      <c r="O22" s="14" t="s">
        <v>639</v>
      </c>
    </row>
    <row r="23" ht="15.75" customHeight="1">
      <c r="A23" s="72" t="s">
        <v>477</v>
      </c>
      <c r="B23" s="26" t="s">
        <v>640</v>
      </c>
      <c r="C23" s="25"/>
      <c r="D23" s="25"/>
      <c r="E23" s="13" t="s">
        <v>641</v>
      </c>
      <c r="F23" s="25"/>
      <c r="G23" s="25"/>
      <c r="H23" s="25"/>
      <c r="I23" s="25"/>
      <c r="J23" s="25"/>
      <c r="K23" s="25"/>
      <c r="L23" s="74">
        <v>0.0</v>
      </c>
      <c r="M23" s="11">
        <v>45000.0</v>
      </c>
      <c r="N23" s="12">
        <f t="shared" si="3"/>
        <v>45000</v>
      </c>
      <c r="O23" s="20" t="s">
        <v>642</v>
      </c>
    </row>
    <row r="24" ht="27.75" customHeight="1">
      <c r="A24" s="27"/>
      <c r="B24" s="28" t="s">
        <v>485</v>
      </c>
      <c r="C24" s="27"/>
      <c r="D24" s="27"/>
      <c r="E24" s="27"/>
      <c r="F24" s="27"/>
      <c r="G24" s="29">
        <f>SUM(G5:G22)</f>
        <v>67</v>
      </c>
      <c r="H24" s="27"/>
      <c r="I24" s="27"/>
      <c r="J24" s="29">
        <f>SUM(J5:J22)</f>
        <v>34</v>
      </c>
      <c r="K24" s="27"/>
      <c r="L24" s="30">
        <f t="shared" ref="L24:N24" si="4">SUM(L5:L23)</f>
        <v>1430000</v>
      </c>
      <c r="M24" s="30">
        <f t="shared" si="4"/>
        <v>105000</v>
      </c>
      <c r="N24" s="31">
        <f t="shared" si="4"/>
        <v>1535000</v>
      </c>
      <c r="O24" s="27"/>
    </row>
    <row r="25" ht="15.75" customHeight="1"/>
    <row r="26" ht="15.75" customHeight="1">
      <c r="B26" s="32" t="s">
        <v>643</v>
      </c>
    </row>
    <row r="27" ht="15.75" customHeight="1">
      <c r="B27" s="32" t="s">
        <v>486</v>
      </c>
      <c r="N27" s="33">
        <v>3000000.0</v>
      </c>
    </row>
    <row r="28" ht="15.75" customHeight="1">
      <c r="B28" s="32" t="s">
        <v>487</v>
      </c>
      <c r="N28" s="34">
        <f>N27-N24</f>
        <v>1465000</v>
      </c>
    </row>
    <row r="29" ht="15.75" customHeight="1">
      <c r="B29" s="32" t="s">
        <v>488</v>
      </c>
      <c r="N29" s="59">
        <f>N24/N27</f>
        <v>0.5116666667</v>
      </c>
    </row>
    <row r="30" ht="15.75" customHeight="1"/>
    <row r="31" ht="15.75" customHeight="1">
      <c r="B31" s="32" t="s">
        <v>489</v>
      </c>
    </row>
    <row r="32" ht="15.75" customHeight="1">
      <c r="B32" s="17" t="s">
        <v>644</v>
      </c>
      <c r="J32" s="37">
        <v>13.5</v>
      </c>
      <c r="K32" s="38" t="s">
        <v>491</v>
      </c>
    </row>
    <row r="33" ht="15.75" customHeight="1">
      <c r="B33" s="17" t="s">
        <v>645</v>
      </c>
      <c r="J33" s="37">
        <v>20.25</v>
      </c>
      <c r="K33" s="38" t="s">
        <v>491</v>
      </c>
    </row>
    <row r="34" ht="15.75" customHeight="1">
      <c r="B34" s="17" t="s">
        <v>646</v>
      </c>
      <c r="J34" s="37">
        <v>9.0</v>
      </c>
      <c r="K34" s="38" t="s">
        <v>491</v>
      </c>
    </row>
    <row r="35" ht="15.75" customHeight="1">
      <c r="B35" s="32" t="s">
        <v>494</v>
      </c>
      <c r="J35" s="37">
        <f>J32+J33+J34</f>
        <v>42.75</v>
      </c>
      <c r="K35" s="38" t="s">
        <v>491</v>
      </c>
    </row>
    <row r="36" ht="15.75" customHeight="1">
      <c r="B36" s="32" t="s">
        <v>647</v>
      </c>
      <c r="J36" s="37">
        <f>J24</f>
        <v>34</v>
      </c>
      <c r="K36" s="38" t="s">
        <v>491</v>
      </c>
    </row>
    <row r="37" ht="15.75" customHeight="1">
      <c r="B37" s="32" t="s">
        <v>516</v>
      </c>
      <c r="J37" s="39">
        <f>J35-J36</f>
        <v>8.75</v>
      </c>
      <c r="K37" s="38" t="s">
        <v>491</v>
      </c>
    </row>
    <row r="38" ht="15.75" customHeight="1"/>
    <row r="39" ht="15.75" customHeight="1"/>
    <row r="40" ht="15.75" customHeight="1">
      <c r="B40" s="32" t="s">
        <v>648</v>
      </c>
    </row>
    <row r="41" ht="15.0" customHeight="1">
      <c r="B41" s="64" t="s">
        <v>649</v>
      </c>
    </row>
    <row r="42" ht="15.0" customHeight="1">
      <c r="B42" s="64" t="s">
        <v>650</v>
      </c>
    </row>
    <row r="43" ht="15.0" customHeight="1">
      <c r="B43" s="65" t="s">
        <v>651</v>
      </c>
    </row>
    <row r="44" ht="15.0" customHeight="1">
      <c r="B44" s="66" t="s">
        <v>652</v>
      </c>
    </row>
    <row r="45" ht="15.75" customHeight="1">
      <c r="B45" s="65"/>
    </row>
    <row r="46" ht="15.0" customHeight="1">
      <c r="B46" s="64" t="s">
        <v>653</v>
      </c>
    </row>
    <row r="47" ht="15.0" customHeight="1">
      <c r="B47" s="66" t="s">
        <v>654</v>
      </c>
    </row>
    <row r="48" ht="15.0" customHeight="1">
      <c r="B48" s="66" t="s">
        <v>655</v>
      </c>
    </row>
    <row r="49" ht="15.75" customHeight="1">
      <c r="B49" s="65"/>
    </row>
    <row r="50" ht="15.0" customHeight="1">
      <c r="B50" s="64" t="s">
        <v>656</v>
      </c>
    </row>
    <row r="51" ht="15.0" customHeight="1">
      <c r="B51" s="65" t="s">
        <v>657</v>
      </c>
    </row>
    <row r="52" ht="15.0" customHeight="1">
      <c r="B52" s="66" t="s">
        <v>658</v>
      </c>
    </row>
    <row r="53" ht="15.75" customHeight="1">
      <c r="B53" s="65"/>
    </row>
    <row r="54" ht="15.0" customHeight="1">
      <c r="B54" s="64" t="s">
        <v>659</v>
      </c>
    </row>
    <row r="55" ht="15.0" customHeight="1">
      <c r="B55" s="66" t="s">
        <v>660</v>
      </c>
    </row>
    <row r="56" ht="15.0" customHeight="1">
      <c r="B56" s="65" t="s">
        <v>661</v>
      </c>
    </row>
    <row r="57" ht="15.75" customHeight="1">
      <c r="B57" s="65"/>
    </row>
    <row r="58" ht="15.0" customHeight="1">
      <c r="B58" s="64" t="s">
        <v>662</v>
      </c>
    </row>
    <row r="59" ht="15.0" customHeight="1">
      <c r="B59" s="66" t="s">
        <v>663</v>
      </c>
    </row>
    <row r="60" ht="15.0" customHeight="1">
      <c r="B60" s="66" t="s">
        <v>664</v>
      </c>
    </row>
    <row r="61" ht="15.0" customHeight="1">
      <c r="B61" s="66" t="s">
        <v>665</v>
      </c>
    </row>
    <row r="62" ht="15.0" customHeight="1">
      <c r="B62" s="66" t="s">
        <v>666</v>
      </c>
    </row>
    <row r="63" ht="15.75" customHeight="1"/>
    <row r="64" ht="15.75" customHeight="1"/>
    <row r="65" ht="15.75" customHeight="1">
      <c r="B65" s="32" t="s">
        <v>667</v>
      </c>
    </row>
    <row r="66" ht="15.75" customHeight="1">
      <c r="B66" s="75"/>
      <c r="C66" s="76"/>
      <c r="D66" s="77" t="s">
        <v>668</v>
      </c>
      <c r="E66" s="76"/>
      <c r="F66" s="77" t="s">
        <v>669</v>
      </c>
      <c r="G66" s="76"/>
      <c r="H66" s="77" t="s">
        <v>670</v>
      </c>
      <c r="I66" s="76"/>
    </row>
    <row r="67" ht="15.75" customHeight="1">
      <c r="B67" s="78" t="s">
        <v>498</v>
      </c>
      <c r="C67" s="79"/>
      <c r="D67" s="80" t="s">
        <v>671</v>
      </c>
      <c r="E67" s="79"/>
      <c r="F67" s="81" t="s">
        <v>672</v>
      </c>
      <c r="G67" s="79"/>
      <c r="H67" s="82" t="s">
        <v>673</v>
      </c>
      <c r="I67" s="79"/>
    </row>
    <row r="68" ht="15.75" customHeight="1">
      <c r="B68" s="83" t="s">
        <v>674</v>
      </c>
      <c r="C68" s="79"/>
      <c r="D68" s="80" t="s">
        <v>675</v>
      </c>
      <c r="E68" s="79"/>
      <c r="F68" s="81" t="s">
        <v>676</v>
      </c>
      <c r="G68" s="79"/>
      <c r="H68" s="82" t="s">
        <v>677</v>
      </c>
      <c r="I68" s="79"/>
    </row>
    <row r="69" ht="15.75" customHeight="1">
      <c r="B69" s="83" t="s">
        <v>678</v>
      </c>
      <c r="C69" s="79"/>
      <c r="D69" s="80" t="s">
        <v>679</v>
      </c>
      <c r="E69" s="79"/>
      <c r="F69" s="81" t="s">
        <v>680</v>
      </c>
      <c r="G69" s="79"/>
      <c r="H69" s="82" t="s">
        <v>681</v>
      </c>
      <c r="I69" s="79"/>
    </row>
    <row r="70" ht="15.75" customHeight="1">
      <c r="B70" s="78" t="s">
        <v>682</v>
      </c>
      <c r="C70" s="79"/>
      <c r="D70" s="80" t="s">
        <v>683</v>
      </c>
      <c r="E70" s="79"/>
      <c r="F70" s="81" t="s">
        <v>684</v>
      </c>
      <c r="G70" s="79"/>
      <c r="H70" s="82" t="s">
        <v>685</v>
      </c>
      <c r="I70" s="79"/>
    </row>
    <row r="71" ht="15.75" customHeight="1">
      <c r="B71" s="78" t="s">
        <v>686</v>
      </c>
      <c r="C71" s="79"/>
      <c r="D71" s="80" t="s">
        <v>687</v>
      </c>
      <c r="E71" s="79"/>
      <c r="F71" s="81" t="s">
        <v>688</v>
      </c>
      <c r="G71" s="79"/>
      <c r="H71" s="82" t="s">
        <v>689</v>
      </c>
      <c r="I71" s="79"/>
    </row>
    <row r="72" ht="15.75" customHeight="1">
      <c r="B72" s="78" t="s">
        <v>690</v>
      </c>
      <c r="C72" s="79"/>
      <c r="D72" s="80" t="s">
        <v>691</v>
      </c>
      <c r="E72" s="79"/>
      <c r="F72" s="81" t="s">
        <v>692</v>
      </c>
      <c r="G72" s="79"/>
      <c r="H72" s="82" t="s">
        <v>693</v>
      </c>
      <c r="I72" s="79"/>
    </row>
    <row r="73" ht="15.75" customHeight="1">
      <c r="B73" s="78" t="s">
        <v>694</v>
      </c>
      <c r="C73" s="79"/>
      <c r="D73" s="80" t="s">
        <v>695</v>
      </c>
      <c r="E73" s="79"/>
      <c r="F73" s="81" t="s">
        <v>696</v>
      </c>
      <c r="G73" s="79"/>
      <c r="H73" s="82" t="s">
        <v>697</v>
      </c>
      <c r="I73" s="79"/>
    </row>
    <row r="74" ht="15.75" customHeight="1">
      <c r="B74" s="78" t="s">
        <v>698</v>
      </c>
      <c r="C74" s="79"/>
      <c r="D74" s="80" t="s">
        <v>699</v>
      </c>
      <c r="E74" s="79"/>
      <c r="F74" s="81" t="s">
        <v>700</v>
      </c>
      <c r="G74" s="79"/>
      <c r="H74" s="84" t="s">
        <v>701</v>
      </c>
      <c r="I74" s="79"/>
    </row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0">
    <mergeCell ref="B68:C68"/>
    <mergeCell ref="B69:C69"/>
    <mergeCell ref="D69:E69"/>
    <mergeCell ref="F69:G69"/>
    <mergeCell ref="H69:I69"/>
    <mergeCell ref="B70:C70"/>
    <mergeCell ref="D70:E70"/>
    <mergeCell ref="B71:C71"/>
    <mergeCell ref="D71:E71"/>
    <mergeCell ref="F71:G71"/>
    <mergeCell ref="H71:I71"/>
    <mergeCell ref="D72:E72"/>
    <mergeCell ref="F72:G72"/>
    <mergeCell ref="H72:I72"/>
    <mergeCell ref="A1:M1"/>
    <mergeCell ref="A2:M2"/>
    <mergeCell ref="B41:O41"/>
    <mergeCell ref="B42:O42"/>
    <mergeCell ref="B43:O43"/>
    <mergeCell ref="B44:O44"/>
    <mergeCell ref="B45:O45"/>
    <mergeCell ref="B46:O46"/>
    <mergeCell ref="B47:O47"/>
    <mergeCell ref="B48:O48"/>
    <mergeCell ref="B49:O49"/>
    <mergeCell ref="B50:O50"/>
    <mergeCell ref="B51:O51"/>
    <mergeCell ref="B52:O52"/>
    <mergeCell ref="B53:O53"/>
    <mergeCell ref="B54:O54"/>
    <mergeCell ref="B55:O55"/>
    <mergeCell ref="B56:O56"/>
    <mergeCell ref="B57:O57"/>
    <mergeCell ref="B58:O58"/>
    <mergeCell ref="B59:O59"/>
    <mergeCell ref="B60:O60"/>
    <mergeCell ref="B61:O61"/>
    <mergeCell ref="B62:O62"/>
    <mergeCell ref="B66:C66"/>
    <mergeCell ref="D66:E66"/>
    <mergeCell ref="F66:G66"/>
    <mergeCell ref="H66:I66"/>
    <mergeCell ref="B67:C67"/>
    <mergeCell ref="D67:E67"/>
    <mergeCell ref="F67:G67"/>
    <mergeCell ref="H67:I67"/>
    <mergeCell ref="D68:E68"/>
    <mergeCell ref="F68:G68"/>
    <mergeCell ref="H68:I68"/>
    <mergeCell ref="F70:G70"/>
    <mergeCell ref="H70:I70"/>
    <mergeCell ref="F74:G74"/>
    <mergeCell ref="H74:I74"/>
    <mergeCell ref="B72:C72"/>
    <mergeCell ref="B73:C73"/>
    <mergeCell ref="D73:E73"/>
    <mergeCell ref="F73:G73"/>
    <mergeCell ref="H73:I73"/>
    <mergeCell ref="B74:C74"/>
    <mergeCell ref="D74:E74"/>
  </mergeCells>
  <printOptions/>
  <pageMargins bottom="1.0" footer="0.0" header="0.0" left="0.75" right="0.75" top="1.0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2026-05-12T08:52:33Z</dcterms:created>
  <dc:creator>openpyxl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